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28c873f6364d31b/Documentos/Trabajo final demografía/demografia_proyecto_hidalgo/"/>
    </mc:Choice>
  </mc:AlternateContent>
  <xr:revisionPtr revIDLastSave="198" documentId="8_{40979716-9A67-924D-B79E-D4606BB3687E}" xr6:coauthVersionLast="47" xr6:coauthVersionMax="47" xr10:uidLastSave="{EAACAABF-119C-4991-92B7-A16785DB71C1}"/>
  <bookViews>
    <workbookView xWindow="-108" yWindow="-108" windowWidth="23256" windowHeight="12456" firstSheet="2" activeTab="4" xr2:uid="{00000000-000D-0000-FFFF-FFFF00000000}"/>
  </bookViews>
  <sheets>
    <sheet name="Hidalgo 2010" sheetId="17" r:id="rId1"/>
    <sheet name="Hidalgo 2019" sheetId="18" r:id="rId2"/>
    <sheet name="Nacimientos 2010" sheetId="19" r:id="rId3"/>
    <sheet name="Nacimientos 2019" sheetId="20" r:id="rId4"/>
    <sheet name="TGF, TBR y TNR" sheetId="15" r:id="rId5"/>
    <sheet name="Sheet1" sheetId="16" state="hidden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1" i="15" l="1"/>
  <c r="P22" i="15"/>
  <c r="O23" i="15"/>
  <c r="O22" i="15"/>
  <c r="O21" i="15"/>
  <c r="N2" i="15"/>
  <c r="I28" i="15"/>
  <c r="B11" i="18" l="1"/>
  <c r="C11" i="18"/>
  <c r="B11" i="17"/>
  <c r="C11" i="17"/>
  <c r="N22" i="15"/>
  <c r="N21" i="15"/>
  <c r="E8" i="16" l="1"/>
  <c r="E9" i="16"/>
  <c r="K23" i="15"/>
  <c r="G9" i="16" s="1"/>
  <c r="K22" i="15"/>
  <c r="G8" i="16" s="1"/>
  <c r="I2" i="15"/>
  <c r="J12" i="16" s="1"/>
  <c r="I12" i="16" s="1"/>
  <c r="F5" i="16" l="1"/>
  <c r="K4" i="15"/>
  <c r="F11" i="16"/>
  <c r="K10" i="15"/>
  <c r="F10" i="16"/>
  <c r="K9" i="15"/>
  <c r="F9" i="16"/>
  <c r="K8" i="15"/>
  <c r="F8" i="16"/>
  <c r="K7" i="15"/>
  <c r="F7" i="16"/>
  <c r="K6" i="15"/>
  <c r="F6" i="16"/>
  <c r="K5" i="15"/>
  <c r="E5" i="16"/>
  <c r="K19" i="15"/>
  <c r="G5" i="16" s="1"/>
  <c r="E11" i="16"/>
  <c r="K25" i="15"/>
  <c r="G11" i="16" s="1"/>
  <c r="K24" i="15"/>
  <c r="G10" i="16" s="1"/>
  <c r="E10" i="16"/>
  <c r="E7" i="16"/>
  <c r="K21" i="15"/>
  <c r="G7" i="16" s="1"/>
  <c r="E6" i="16"/>
  <c r="K20" i="15"/>
  <c r="G6" i="16" s="1"/>
  <c r="H6" i="16" l="1"/>
  <c r="H7" i="16"/>
  <c r="H8" i="16"/>
  <c r="H9" i="16"/>
  <c r="H10" i="16"/>
  <c r="H11" i="16"/>
  <c r="H5" i="16"/>
  <c r="G20" i="15" l="1"/>
  <c r="G24" i="15"/>
  <c r="C10" i="16" s="1"/>
  <c r="G19" i="15"/>
  <c r="C5" i="16" s="1"/>
  <c r="G5" i="15"/>
  <c r="G4" i="15"/>
  <c r="I4" i="15" l="1"/>
  <c r="L4" i="15" s="1"/>
  <c r="D5" i="16"/>
  <c r="I5" i="15"/>
  <c r="L5" i="15" s="1"/>
  <c r="J6" i="16" s="1"/>
  <c r="D6" i="16"/>
  <c r="I20" i="15"/>
  <c r="L20" i="15" s="1"/>
  <c r="I6" i="16" s="1"/>
  <c r="C6" i="16"/>
  <c r="G23" i="15"/>
  <c r="C9" i="16" s="1"/>
  <c r="G25" i="15"/>
  <c r="C11" i="16" s="1"/>
  <c r="I24" i="15"/>
  <c r="L24" i="15" s="1"/>
  <c r="I10" i="16" s="1"/>
  <c r="I19" i="15"/>
  <c r="L19" i="15" s="1"/>
  <c r="I5" i="16" s="1"/>
  <c r="G22" i="15"/>
  <c r="G21" i="15"/>
  <c r="C7" i="16" s="1"/>
  <c r="I23" i="15" l="1"/>
  <c r="L23" i="15" s="1"/>
  <c r="I9" i="16" s="1"/>
  <c r="G27" i="15"/>
  <c r="C8" i="16"/>
  <c r="G6" i="15"/>
  <c r="J5" i="16"/>
  <c r="I21" i="15"/>
  <c r="L21" i="15" s="1"/>
  <c r="I7" i="16" s="1"/>
  <c r="I22" i="15"/>
  <c r="L22" i="15" s="1"/>
  <c r="I8" i="16" s="1"/>
  <c r="G26" i="15"/>
  <c r="H22" i="15" s="1"/>
  <c r="I25" i="15"/>
  <c r="L25" i="15" s="1"/>
  <c r="I11" i="16" s="1"/>
  <c r="G7" i="15" l="1"/>
  <c r="I6" i="15"/>
  <c r="L6" i="15" s="1"/>
  <c r="D7" i="16"/>
  <c r="G9" i="15"/>
  <c r="H25" i="15"/>
  <c r="L26" i="15"/>
  <c r="L29" i="15" s="1"/>
  <c r="H20" i="15"/>
  <c r="H23" i="15"/>
  <c r="H19" i="15"/>
  <c r="H24" i="15"/>
  <c r="H21" i="15"/>
  <c r="I13" i="16" l="1"/>
  <c r="I9" i="15"/>
  <c r="L9" i="15" s="1"/>
  <c r="J10" i="16" s="1"/>
  <c r="D10" i="16"/>
  <c r="G8" i="15"/>
  <c r="J7" i="16"/>
  <c r="I7" i="15"/>
  <c r="L7" i="15" s="1"/>
  <c r="D8" i="16"/>
  <c r="G10" i="15" l="1"/>
  <c r="J8" i="16"/>
  <c r="I8" i="15"/>
  <c r="L8" i="15" s="1"/>
  <c r="D9" i="16"/>
  <c r="G12" i="15"/>
  <c r="G11" i="15"/>
  <c r="H4" i="15" l="1"/>
  <c r="H5" i="15"/>
  <c r="H6" i="15"/>
  <c r="H9" i="15"/>
  <c r="H7" i="15"/>
  <c r="H8" i="15"/>
  <c r="I13" i="15"/>
  <c r="J9" i="16"/>
  <c r="I10" i="15"/>
  <c r="L10" i="15" s="1"/>
  <c r="D11" i="16"/>
  <c r="H10" i="15"/>
  <c r="J11" i="16" l="1"/>
  <c r="L11" i="15"/>
  <c r="L14" i="15" s="1"/>
  <c r="P23" i="15" l="1"/>
  <c r="J13" i="16"/>
</calcChain>
</file>

<file path=xl/sharedStrings.xml><?xml version="1.0" encoding="utf-8"?>
<sst xmlns="http://schemas.openxmlformats.org/spreadsheetml/2006/main" count="190" uniqueCount="89">
  <si>
    <t>Edad</t>
  </si>
  <si>
    <t>Población 30/06/2010</t>
  </si>
  <si>
    <t>15-19</t>
  </si>
  <si>
    <t>20-24</t>
  </si>
  <si>
    <t>Total</t>
  </si>
  <si>
    <t>25-29</t>
  </si>
  <si>
    <t>30-34</t>
  </si>
  <si>
    <t>35-39</t>
  </si>
  <si>
    <t>K</t>
  </si>
  <si>
    <t>40-44</t>
  </si>
  <si>
    <t>45-49</t>
  </si>
  <si>
    <t>Fuente: Elaborado sobre la base de estadísticas vitales</t>
  </si>
  <si>
    <t>Panamá</t>
  </si>
  <si>
    <t>Brasil</t>
  </si>
  <si>
    <t>TGF</t>
  </si>
  <si>
    <t>TBR</t>
  </si>
  <si>
    <t>TNR</t>
  </si>
  <si>
    <t>Punto medio</t>
  </si>
  <si>
    <t>x</t>
  </si>
  <si>
    <t>x+n</t>
  </si>
  <si>
    <t>Nacimientos</t>
  </si>
  <si>
    <t>Población femenina 30/06/2010</t>
  </si>
  <si>
    <t>f(x,5)</t>
  </si>
  <si>
    <t>% f(x,5)</t>
  </si>
  <si>
    <t>f(x,5) fem</t>
  </si>
  <si>
    <t>L(x) fem</t>
  </si>
  <si>
    <r>
      <rPr>
        <b/>
        <vertAlign val="subscript"/>
        <sz val="10"/>
        <color theme="1"/>
        <rFont val="Arial"/>
        <family val="2"/>
      </rPr>
      <t>m+2,5</t>
    </r>
    <r>
      <rPr>
        <b/>
        <sz val="10"/>
        <color theme="1"/>
        <rFont val="Arial"/>
        <family val="2"/>
      </rPr>
      <t>P</t>
    </r>
    <r>
      <rPr>
        <b/>
        <vertAlign val="subscript"/>
        <sz val="10"/>
        <color theme="1"/>
        <rFont val="Arial"/>
        <family val="2"/>
      </rPr>
      <t>0</t>
    </r>
  </si>
  <si>
    <r>
      <rPr>
        <b/>
        <vertAlign val="subscript"/>
        <sz val="10"/>
        <color theme="1"/>
        <rFont val="Arial"/>
        <family val="2"/>
      </rPr>
      <t>m+2,5</t>
    </r>
    <r>
      <rPr>
        <b/>
        <sz val="10"/>
        <color theme="1"/>
        <rFont val="Arial"/>
        <family val="2"/>
      </rPr>
      <t>P</t>
    </r>
    <r>
      <rPr>
        <b/>
        <vertAlign val="subscript"/>
        <sz val="10"/>
        <color theme="1"/>
        <rFont val="Arial"/>
        <family val="2"/>
      </rPr>
      <t>0</t>
    </r>
    <r>
      <rPr>
        <b/>
        <sz val="10"/>
        <color theme="1"/>
        <rFont val="Arial"/>
        <family val="2"/>
      </rPr>
      <t xml:space="preserve"> * f(x,5)fem</t>
    </r>
  </si>
  <si>
    <t>TBR (K obs)</t>
  </si>
  <si>
    <t>diff</t>
  </si>
  <si>
    <t>nLx</t>
  </si>
  <si>
    <t>nLx / (5*lo)</t>
  </si>
  <si>
    <t>f(x,5) * (nLx / (5*lo))</t>
  </si>
  <si>
    <t>Hidalgo: nacimientos por grupos quinquenales de edad de la madre, 2010</t>
  </si>
  <si>
    <t>Hidalgo 2010</t>
  </si>
  <si>
    <t>Población 30/06/2019</t>
  </si>
  <si>
    <t>Hidalgo 2019</t>
  </si>
  <si>
    <t>Fuente: Cálculo de tasas de mortalidad.xlsx</t>
  </si>
  <si>
    <t xml:space="preserve">Notemos que con los calculos hechos en el excel de Cálculo de tasas de mortalidad solo se puede calcular la población a mitad de año para 2019, ya que el año 2019 no fue año censal. </t>
  </si>
  <si>
    <t>Nacimientos registrados</t>
  </si>
  <si>
    <t>Año de registro : 2010</t>
  </si>
  <si>
    <t>Ent y mun reside madre : Hidalgo</t>
  </si>
  <si>
    <t/>
  </si>
  <si>
    <t>Consulta de: Nacimientos registrados   Por: Edad madre al nacimiento   Según: Año de ocurrencia</t>
  </si>
  <si>
    <t>2010</t>
  </si>
  <si>
    <t>39,591</t>
  </si>
  <si>
    <t>Menor de 15 años</t>
  </si>
  <si>
    <t>151</t>
  </si>
  <si>
    <t>De 12 años</t>
  </si>
  <si>
    <t>3</t>
  </si>
  <si>
    <t>De 13 años</t>
  </si>
  <si>
    <t>16</t>
  </si>
  <si>
    <t>De 14 años</t>
  </si>
  <si>
    <t>132</t>
  </si>
  <si>
    <t>De 15 a 19 años</t>
  </si>
  <si>
    <t>7,465</t>
  </si>
  <si>
    <t>De 20 a 24 años</t>
  </si>
  <si>
    <t>12,179</t>
  </si>
  <si>
    <t>De 25 a 29 años</t>
  </si>
  <si>
    <t>10,023</t>
  </si>
  <si>
    <t>De 30 a 34 años</t>
  </si>
  <si>
    <t>6,219</t>
  </si>
  <si>
    <t>De 35 a 39 años</t>
  </si>
  <si>
    <t>2,751</t>
  </si>
  <si>
    <t>De 40 a 44 años</t>
  </si>
  <si>
    <t>535</t>
  </si>
  <si>
    <t>De 45 a 49 años</t>
  </si>
  <si>
    <t>36</t>
  </si>
  <si>
    <t>De 50  y más años</t>
  </si>
  <si>
    <t>2</t>
  </si>
  <si>
    <t>No especificado</t>
  </si>
  <si>
    <t>230</t>
  </si>
  <si>
    <t>FUENTE: INEGI. Estadísticas de natalidad.</t>
  </si>
  <si>
    <t>Año de registro : 2019</t>
  </si>
  <si>
    <t>2019</t>
  </si>
  <si>
    <t>32,481</t>
  </si>
  <si>
    <t>97</t>
  </si>
  <si>
    <t>13</t>
  </si>
  <si>
    <t>82</t>
  </si>
  <si>
    <t>5,427</t>
  </si>
  <si>
    <t>8,896</t>
  </si>
  <si>
    <t>8,843</t>
  </si>
  <si>
    <t>5,628</t>
  </si>
  <si>
    <t>2,676</t>
  </si>
  <si>
    <t>628</t>
  </si>
  <si>
    <t>41</t>
  </si>
  <si>
    <t>4</t>
  </si>
  <si>
    <t>241</t>
  </si>
  <si>
    <t>Población femenina 30/06/2019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</si>
</sst>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##"/>
  </numFmts>
  <fonts count="17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color rgb="FF7030A0"/>
      <name val="Arial"/>
      <family val="2"/>
    </font>
    <font>
      <b/>
      <vertAlign val="subscript"/>
      <sz val="10"/>
      <color theme="1"/>
      <name val="Arial"/>
      <family val="2"/>
    </font>
    <font>
      <b/>
      <sz val="10"/>
      <color theme="5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name val="Calibri"/>
    </font>
    <font>
      <sz val="10"/>
      <color rgb="FF000000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0" fontId="15" fillId="0" borderId="0"/>
    <xf numFmtId="0" fontId="16" fillId="0" borderId="0"/>
  </cellStyleXfs>
  <cellXfs count="85">
    <xf numFmtId="0" fontId="0" fillId="0" borderId="0" xfId="0"/>
    <xf numFmtId="0" fontId="5" fillId="0" borderId="0" xfId="0" applyFont="1" applyAlignment="1">
      <alignment vertical="center"/>
    </xf>
    <xf numFmtId="0" fontId="3" fillId="0" borderId="0" xfId="0" applyFont="1"/>
    <xf numFmtId="0" fontId="3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1" fontId="7" fillId="3" borderId="3" xfId="0" applyNumberFormat="1" applyFont="1" applyFill="1" applyBorder="1" applyAlignment="1">
      <alignment horizontal="center" vertical="center"/>
    </xf>
    <xf numFmtId="1" fontId="7" fillId="4" borderId="3" xfId="0" applyNumberFormat="1" applyFont="1" applyFill="1" applyBorder="1" applyAlignment="1">
      <alignment horizontal="center" vertical="center"/>
    </xf>
    <xf numFmtId="1" fontId="7" fillId="5" borderId="3" xfId="0" applyNumberFormat="1" applyFont="1" applyFill="1" applyBorder="1" applyAlignment="1">
      <alignment horizontal="right" vertical="center"/>
    </xf>
    <xf numFmtId="1" fontId="7" fillId="5" borderId="3" xfId="0" applyNumberFormat="1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3" fillId="0" borderId="3" xfId="0" applyFont="1" applyBorder="1" applyAlignment="1">
      <alignment vertical="center"/>
    </xf>
    <xf numFmtId="164" fontId="3" fillId="0" borderId="9" xfId="0" applyNumberFormat="1" applyFont="1" applyBorder="1" applyAlignment="1">
      <alignment vertical="center"/>
    </xf>
    <xf numFmtId="2" fontId="3" fillId="0" borderId="3" xfId="0" applyNumberFormat="1" applyFont="1" applyBorder="1" applyAlignment="1">
      <alignment vertical="center"/>
    </xf>
    <xf numFmtId="164" fontId="3" fillId="0" borderId="3" xfId="0" applyNumberFormat="1" applyFont="1" applyBorder="1" applyAlignment="1">
      <alignment vertical="center"/>
    </xf>
    <xf numFmtId="0" fontId="3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vertical="center"/>
    </xf>
    <xf numFmtId="164" fontId="3" fillId="5" borderId="9" xfId="0" applyNumberFormat="1" applyFont="1" applyFill="1" applyBorder="1" applyAlignment="1">
      <alignment vertical="center"/>
    </xf>
    <xf numFmtId="2" fontId="3" fillId="5" borderId="3" xfId="0" applyNumberFormat="1" applyFont="1" applyFill="1" applyBorder="1" applyAlignment="1">
      <alignment vertical="center"/>
    </xf>
    <xf numFmtId="0" fontId="3" fillId="5" borderId="3" xfId="0" applyFont="1" applyFill="1" applyBorder="1" applyAlignment="1">
      <alignment vertical="center"/>
    </xf>
    <xf numFmtId="164" fontId="3" fillId="5" borderId="3" xfId="0" applyNumberFormat="1" applyFont="1" applyFill="1" applyBorder="1" applyAlignment="1">
      <alignment vertical="center"/>
    </xf>
    <xf numFmtId="0" fontId="9" fillId="0" borderId="0" xfId="0" applyFont="1" applyAlignment="1">
      <alignment vertical="center"/>
    </xf>
    <xf numFmtId="0" fontId="6" fillId="0" borderId="3" xfId="0" applyFont="1" applyBorder="1" applyAlignment="1">
      <alignment horizontal="right" vertical="center"/>
    </xf>
    <xf numFmtId="2" fontId="9" fillId="0" borderId="9" xfId="0" applyNumberFormat="1" applyFont="1" applyBorder="1" applyAlignment="1">
      <alignment vertical="center"/>
    </xf>
    <xf numFmtId="1" fontId="9" fillId="0" borderId="3" xfId="0" applyNumberFormat="1" applyFont="1" applyBorder="1" applyAlignment="1">
      <alignment vertical="center"/>
    </xf>
    <xf numFmtId="0" fontId="5" fillId="0" borderId="3" xfId="0" applyFont="1" applyBorder="1" applyAlignment="1">
      <alignment horizontal="right" vertical="center"/>
    </xf>
    <xf numFmtId="0" fontId="3" fillId="0" borderId="2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7" xfId="0" applyFont="1" applyBorder="1" applyAlignment="1">
      <alignment horizontal="center" vertical="center"/>
    </xf>
    <xf numFmtId="1" fontId="3" fillId="0" borderId="10" xfId="0" applyNumberFormat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0" fillId="0" borderId="3" xfId="0" applyFont="1" applyBorder="1" applyAlignment="1">
      <alignment horizontal="center" vertical="center" wrapText="1"/>
    </xf>
    <xf numFmtId="2" fontId="3" fillId="0" borderId="4" xfId="0" applyNumberFormat="1" applyFont="1" applyBorder="1" applyAlignment="1">
      <alignment vertical="center"/>
    </xf>
    <xf numFmtId="1" fontId="3" fillId="8" borderId="3" xfId="0" applyNumberFormat="1" applyFont="1" applyFill="1" applyBorder="1" applyAlignment="1">
      <alignment horizontal="right" vertical="center"/>
    </xf>
    <xf numFmtId="2" fontId="3" fillId="0" borderId="0" xfId="0" applyNumberFormat="1" applyFont="1"/>
    <xf numFmtId="164" fontId="9" fillId="0" borderId="5" xfId="0" applyNumberFormat="1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12" fillId="0" borderId="14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17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164" fontId="12" fillId="0" borderId="23" xfId="0" applyNumberFormat="1" applyFont="1" applyBorder="1" applyAlignment="1">
      <alignment vertical="center"/>
    </xf>
    <xf numFmtId="164" fontId="12" fillId="0" borderId="25" xfId="0" applyNumberFormat="1" applyFont="1" applyBorder="1" applyAlignment="1">
      <alignment vertical="center"/>
    </xf>
    <xf numFmtId="164" fontId="12" fillId="0" borderId="26" xfId="0" applyNumberFormat="1" applyFont="1" applyBorder="1" applyAlignment="1">
      <alignment vertical="center"/>
    </xf>
    <xf numFmtId="164" fontId="12" fillId="0" borderId="24" xfId="0" applyNumberFormat="1" applyFont="1" applyBorder="1" applyAlignment="1">
      <alignment vertical="center"/>
    </xf>
    <xf numFmtId="164" fontId="12" fillId="0" borderId="16" xfId="0" applyNumberFormat="1" applyFont="1" applyBorder="1" applyAlignment="1">
      <alignment vertical="center"/>
    </xf>
    <xf numFmtId="164" fontId="12" fillId="0" borderId="15" xfId="0" applyNumberFormat="1" applyFont="1" applyBorder="1" applyAlignment="1">
      <alignment vertical="center"/>
    </xf>
    <xf numFmtId="0" fontId="12" fillId="0" borderId="0" xfId="0" applyFont="1" applyAlignment="1">
      <alignment vertical="center"/>
    </xf>
    <xf numFmtId="0" fontId="12" fillId="0" borderId="11" xfId="0" applyFont="1" applyBorder="1" applyAlignment="1">
      <alignment vertical="center"/>
    </xf>
    <xf numFmtId="164" fontId="12" fillId="0" borderId="0" xfId="0" applyNumberFormat="1" applyFont="1" applyAlignment="1">
      <alignment vertical="center"/>
    </xf>
    <xf numFmtId="164" fontId="12" fillId="0" borderId="11" xfId="0" applyNumberFormat="1" applyFont="1" applyBorder="1" applyAlignment="1">
      <alignment vertical="center"/>
    </xf>
    <xf numFmtId="0" fontId="14" fillId="0" borderId="20" xfId="0" applyFont="1" applyBorder="1" applyAlignment="1">
      <alignment vertical="center"/>
    </xf>
    <xf numFmtId="0" fontId="14" fillId="0" borderId="19" xfId="0" applyFont="1" applyBorder="1" applyAlignment="1">
      <alignment vertical="center"/>
    </xf>
    <xf numFmtId="2" fontId="12" fillId="0" borderId="21" xfId="0" applyNumberFormat="1" applyFont="1" applyBorder="1" applyAlignment="1">
      <alignment vertical="center"/>
    </xf>
    <xf numFmtId="2" fontId="12" fillId="0" borderId="18" xfId="0" applyNumberFormat="1" applyFont="1" applyBorder="1" applyAlignment="1">
      <alignment vertical="center"/>
    </xf>
    <xf numFmtId="165" fontId="3" fillId="0" borderId="0" xfId="0" applyNumberFormat="1" applyFont="1"/>
    <xf numFmtId="1" fontId="0" fillId="6" borderId="3" xfId="0" applyNumberFormat="1" applyFill="1" applyBorder="1" applyAlignment="1">
      <alignment horizontal="center"/>
    </xf>
    <xf numFmtId="1" fontId="0" fillId="7" borderId="3" xfId="0" applyNumberFormat="1" applyFill="1" applyBorder="1" applyAlignment="1">
      <alignment horizontal="center" vertical="center"/>
    </xf>
    <xf numFmtId="1" fontId="15" fillId="6" borderId="3" xfId="1" applyNumberFormat="1" applyFill="1" applyBorder="1" applyAlignment="1">
      <alignment horizontal="center" vertical="top"/>
    </xf>
    <xf numFmtId="1" fontId="3" fillId="8" borderId="3" xfId="0" applyNumberFormat="1" applyFont="1" applyFill="1" applyBorder="1" applyAlignment="1">
      <alignment horizontal="center" vertical="center"/>
    </xf>
    <xf numFmtId="166" fontId="15" fillId="6" borderId="0" xfId="1" applyNumberFormat="1" applyFill="1" applyAlignment="1">
      <alignment horizontal="left" vertical="top"/>
    </xf>
    <xf numFmtId="0" fontId="15" fillId="0" borderId="0" xfId="1"/>
    <xf numFmtId="166" fontId="15" fillId="0" borderId="0" xfId="1" applyNumberFormat="1" applyAlignment="1">
      <alignment horizontal="left" vertical="top"/>
    </xf>
    <xf numFmtId="166" fontId="0" fillId="0" borderId="0" xfId="0" applyNumberFormat="1" applyAlignment="1">
      <alignment horizontal="left" vertical="top"/>
    </xf>
    <xf numFmtId="166" fontId="0" fillId="6" borderId="0" xfId="0" applyNumberFormat="1" applyFill="1" applyAlignment="1">
      <alignment horizontal="left" vertical="top"/>
    </xf>
    <xf numFmtId="0" fontId="1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</cellXfs>
  <cellStyles count="3">
    <cellStyle name="Normal" xfId="0" builtinId="0"/>
    <cellStyle name="Normal 2" xfId="1" xr:uid="{6CB40382-AD7A-48F4-9707-84363F901875}"/>
    <cellStyle name="Normal 3" xfId="2" xr:uid="{8F27BE19-4841-4CEC-8CBF-6A86C223374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'TGF, TBR y TNR'!$A$1</c:f>
              <c:strCache>
                <c:ptCount val="1"/>
                <c:pt idx="0">
                  <c:v>Hidalgo 2010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'TGF, TBR y TNR'!$A$4:$A$10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'TGF, TBR y TNR'!$G$4:$G$10</c:f>
              <c:numCache>
                <c:formatCode>0.0000</c:formatCode>
                <c:ptCount val="7"/>
                <c:pt idx="0">
                  <c:v>5.4828907677638448E-2</c:v>
                </c:pt>
                <c:pt idx="1">
                  <c:v>0.10070824797231291</c:v>
                </c:pt>
                <c:pt idx="2">
                  <c:v>9.098579919908012E-2</c:v>
                </c:pt>
                <c:pt idx="3">
                  <c:v>5.7754205661623308E-2</c:v>
                </c:pt>
                <c:pt idx="4">
                  <c:v>2.6572956050669293E-2</c:v>
                </c:pt>
                <c:pt idx="5">
                  <c:v>6.1179548404038959E-3</c:v>
                </c:pt>
                <c:pt idx="6">
                  <c:v>4.7878865310947271E-4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B1-40E8-9087-08B1336FA70F}"/>
            </c:ext>
          </c:extLst>
        </c:ser>
        <c:ser>
          <c:idx val="1"/>
          <c:order val="1"/>
          <c:tx>
            <c:strRef>
              <c:f>'TGF, TBR y TNR'!$A$16</c:f>
              <c:strCache>
                <c:ptCount val="1"/>
                <c:pt idx="0">
                  <c:v>Hidalgo 2019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'TGF, TBR y TNR'!$G$19:$G$25</c:f>
              <c:numCache>
                <c:formatCode>0.0000</c:formatCode>
                <c:ptCount val="7"/>
                <c:pt idx="0">
                  <c:v>4.0115458919184395E-2</c:v>
                </c:pt>
                <c:pt idx="1">
                  <c:v>7.292630566106599E-2</c:v>
                </c:pt>
                <c:pt idx="2">
                  <c:v>7.2523623611403118E-2</c:v>
                </c:pt>
                <c:pt idx="3">
                  <c:v>4.6679665174753041E-2</c:v>
                </c:pt>
                <c:pt idx="4">
                  <c:v>2.2594458696194503E-2</c:v>
                </c:pt>
                <c:pt idx="5">
                  <c:v>5.6421126331824114E-3</c:v>
                </c:pt>
                <c:pt idx="6">
                  <c:v>4.0555065713504648E-4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B1-40E8-9087-08B1336FA7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0476184"/>
        <c:axId val="570475200"/>
      </c:lineChart>
      <c:catAx>
        <c:axId val="570476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70475200"/>
        <c:crosses val="autoZero"/>
        <c:auto val="1"/>
        <c:lblAlgn val="ctr"/>
        <c:lblOffset val="100"/>
        <c:noMultiLvlLbl val="0"/>
      </c:catAx>
      <c:valAx>
        <c:axId val="570475200"/>
        <c:scaling>
          <c:orientation val="minMax"/>
          <c:max val="0.1500000000000000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70476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'TGF, TBR y TNR'!$N$21</c:f>
              <c:strCache>
                <c:ptCount val="1"/>
                <c:pt idx="0">
                  <c:v>TBR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'TGF, TBR y TNR'!$O$20:$P$20</c:f>
              <c:strCache>
                <c:ptCount val="2"/>
                <c:pt idx="0">
                  <c:v>Hidalgo 2019</c:v>
                </c:pt>
                <c:pt idx="1">
                  <c:v>Hidalgo 2010</c:v>
                </c:pt>
              </c:strCache>
            </c:strRef>
          </c:cat>
          <c:val>
            <c:numRef>
              <c:f>'TGF, TBR y TNR'!$O$21:$P$21</c:f>
              <c:numCache>
                <c:formatCode>0.000</c:formatCode>
                <c:ptCount val="2"/>
                <c:pt idx="0">
                  <c:v>0.63631018378760607</c:v>
                </c:pt>
                <c:pt idx="1">
                  <c:v>0.82304112208496938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4E-4257-BCC4-D5B96674E967}"/>
            </c:ext>
          </c:extLst>
        </c:ser>
        <c:ser>
          <c:idx val="1"/>
          <c:order val="1"/>
          <c:tx>
            <c:strRef>
              <c:f>'TGF, TBR y TNR'!$N$22</c:f>
              <c:strCache>
                <c:ptCount val="1"/>
                <c:pt idx="0">
                  <c:v>TNR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'TGF, TBR y TNR'!$O$20:$P$20</c:f>
              <c:strCache>
                <c:ptCount val="2"/>
                <c:pt idx="0">
                  <c:v>Hidalgo 2019</c:v>
                </c:pt>
                <c:pt idx="1">
                  <c:v>Hidalgo 2010</c:v>
                </c:pt>
              </c:strCache>
            </c:strRef>
          </c:cat>
          <c:val>
            <c:numRef>
              <c:f>'TGF, TBR y TNR'!$O$22:$P$22</c:f>
              <c:numCache>
                <c:formatCode>0.000</c:formatCode>
                <c:ptCount val="2"/>
                <c:pt idx="0">
                  <c:v>0.62414976553654244</c:v>
                </c:pt>
                <c:pt idx="1">
                  <c:v>0.80482061110347303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4E-4257-BCC4-D5B96674E96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581019320"/>
        <c:axId val="581019976"/>
      </c:barChart>
      <c:catAx>
        <c:axId val="581019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1019976"/>
        <c:crosses val="autoZero"/>
        <c:auto val="1"/>
        <c:lblAlgn val="ctr"/>
        <c:lblOffset val="100"/>
        <c:noMultiLvlLbl val="0"/>
      </c:catAx>
      <c:valAx>
        <c:axId val="581019976"/>
        <c:scaling>
          <c:orientation val="minMax"/>
          <c:max val="1.27"/>
          <c:min val="0.5"/>
        </c:scaling>
        <c:delete val="0"/>
        <c:axPos val="l"/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1019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11</xdr:row>
          <xdr:rowOff>60960</xdr:rowOff>
        </xdr:from>
        <xdr:to>
          <xdr:col>4</xdr:col>
          <xdr:colOff>838200</xdr:colOff>
          <xdr:row>13</xdr:row>
          <xdr:rowOff>152400</xdr:rowOff>
        </xdr:to>
        <xdr:sp macro="" textlink="">
          <xdr:nvSpPr>
            <xdr:cNvPr id="6146" name="Object 2" hidden="1">
              <a:extLst>
                <a:ext uri="{63B3BB69-23CF-44E3-9099-C40C66FF867C}">
                  <a14:compatExt spid="_x0000_s6146"/>
                </a:ext>
                <a:ext uri="{FF2B5EF4-FFF2-40B4-BE49-F238E27FC236}">
                  <a16:creationId xmlns:a16="http://schemas.microsoft.com/office/drawing/2014/main" id="{00000000-0008-0000-0400-00000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12</xdr:col>
      <xdr:colOff>361950</xdr:colOff>
      <xdr:row>2</xdr:row>
      <xdr:rowOff>252412</xdr:rowOff>
    </xdr:from>
    <xdr:to>
      <xdr:col>18</xdr:col>
      <xdr:colOff>361950</xdr:colOff>
      <xdr:row>17</xdr:row>
      <xdr:rowOff>242887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55967D-B3A0-3D87-8DF3-64129A470B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361950</xdr:colOff>
      <xdr:row>26</xdr:row>
      <xdr:rowOff>4762</xdr:rowOff>
    </xdr:from>
    <xdr:to>
      <xdr:col>18</xdr:col>
      <xdr:colOff>361950</xdr:colOff>
      <xdr:row>42</xdr:row>
      <xdr:rowOff>157162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2B37E7D-2682-70D2-C96A-0186F38BC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DE110-F593-4E47-B71F-897103010D48}">
  <dimension ref="A1:D12"/>
  <sheetViews>
    <sheetView workbookViewId="0">
      <selection activeCell="J13" sqref="J13"/>
    </sheetView>
  </sheetViews>
  <sheetFormatPr defaultRowHeight="14.4" x14ac:dyDescent="0.3"/>
  <cols>
    <col min="2" max="2" width="18.5546875" customWidth="1"/>
    <col min="3" max="3" width="19.21875" customWidth="1"/>
    <col min="4" max="4" width="0.21875" customWidth="1"/>
  </cols>
  <sheetData>
    <row r="1" spans="1:4" ht="31.8" customHeight="1" x14ac:dyDescent="0.3">
      <c r="A1" s="77" t="s">
        <v>33</v>
      </c>
      <c r="B1" s="77"/>
      <c r="C1" s="77"/>
      <c r="D1" s="77"/>
    </row>
    <row r="2" spans="1:4" x14ac:dyDescent="0.3">
      <c r="A2" s="4"/>
      <c r="B2" s="4"/>
      <c r="C2" s="40"/>
      <c r="D2" s="40"/>
    </row>
    <row r="3" spans="1:4" ht="28.8" x14ac:dyDescent="0.3">
      <c r="A3" s="39" t="s">
        <v>0</v>
      </c>
      <c r="B3" s="12" t="s">
        <v>34</v>
      </c>
      <c r="C3" s="41" t="s">
        <v>1</v>
      </c>
      <c r="D3" s="35"/>
    </row>
    <row r="4" spans="1:4" x14ac:dyDescent="0.3">
      <c r="A4" s="36" t="s">
        <v>2</v>
      </c>
      <c r="B4" s="70">
        <v>136155.6788463828</v>
      </c>
      <c r="C4" s="68">
        <v>136150.80650320055</v>
      </c>
      <c r="D4" s="35"/>
    </row>
    <row r="5" spans="1:4" x14ac:dyDescent="0.3">
      <c r="A5" s="36" t="s">
        <v>3</v>
      </c>
      <c r="B5" s="70">
        <v>120927.61511230371</v>
      </c>
      <c r="C5" s="68">
        <v>120933.49100213019</v>
      </c>
      <c r="D5" s="35"/>
    </row>
    <row r="6" spans="1:4" x14ac:dyDescent="0.3">
      <c r="A6" s="36" t="s">
        <v>5</v>
      </c>
      <c r="B6" s="70">
        <v>110097.35894460151</v>
      </c>
      <c r="C6" s="68">
        <v>110160.04792208644</v>
      </c>
      <c r="D6" s="35"/>
    </row>
    <row r="7" spans="1:4" x14ac:dyDescent="0.3">
      <c r="A7" s="36" t="s">
        <v>6</v>
      </c>
      <c r="B7" s="70">
        <v>107612.25503564518</v>
      </c>
      <c r="C7" s="68">
        <v>107680.46982477019</v>
      </c>
      <c r="D7" s="35"/>
    </row>
    <row r="8" spans="1:4" x14ac:dyDescent="0.3">
      <c r="A8" s="36" t="s">
        <v>7</v>
      </c>
      <c r="B8" s="70">
        <v>103448.24475510686</v>
      </c>
      <c r="C8" s="68">
        <v>103526.30677424051</v>
      </c>
      <c r="D8" s="35"/>
    </row>
    <row r="9" spans="1:4" x14ac:dyDescent="0.3">
      <c r="A9" s="36" t="s">
        <v>9</v>
      </c>
      <c r="B9" s="70">
        <v>87329.332742229162</v>
      </c>
      <c r="C9" s="68">
        <v>87447.523552606071</v>
      </c>
      <c r="D9" s="35"/>
    </row>
    <row r="10" spans="1:4" x14ac:dyDescent="0.3">
      <c r="A10" s="38" t="s">
        <v>10</v>
      </c>
      <c r="B10" s="70">
        <v>75065.052704922404</v>
      </c>
      <c r="C10" s="68">
        <v>75189.751816797492</v>
      </c>
      <c r="D10" s="35"/>
    </row>
    <row r="11" spans="1:4" x14ac:dyDescent="0.3">
      <c r="A11" s="11" t="s">
        <v>4</v>
      </c>
      <c r="B11" s="71">
        <f>SUM(B4:B10)</f>
        <v>740635.5381411917</v>
      </c>
      <c r="C11" s="69">
        <f>SUM(C4:C10)</f>
        <v>741088.39739583153</v>
      </c>
      <c r="D11" s="35"/>
    </row>
    <row r="12" spans="1:4" x14ac:dyDescent="0.3">
      <c r="A12" s="34" t="s">
        <v>11</v>
      </c>
      <c r="B12" s="35"/>
      <c r="C12" s="35"/>
      <c r="D12" s="35"/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12C6C-EEBF-464A-B227-F71946AC6A52}">
  <dimension ref="A1:D15"/>
  <sheetViews>
    <sheetView workbookViewId="0">
      <selection activeCell="C4" sqref="C4:C10"/>
    </sheetView>
  </sheetViews>
  <sheetFormatPr defaultRowHeight="14.4" x14ac:dyDescent="0.3"/>
  <cols>
    <col min="2" max="2" width="17" customWidth="1"/>
    <col min="3" max="3" width="17.21875" customWidth="1"/>
    <col min="4" max="4" width="8.77734375" customWidth="1"/>
  </cols>
  <sheetData>
    <row r="1" spans="1:4" ht="26.4" customHeight="1" x14ac:dyDescent="0.3">
      <c r="A1" s="77" t="s">
        <v>33</v>
      </c>
      <c r="B1" s="77"/>
      <c r="C1" s="77"/>
      <c r="D1" s="77"/>
    </row>
    <row r="2" spans="1:4" x14ac:dyDescent="0.3">
      <c r="A2" s="4"/>
      <c r="B2" s="4"/>
      <c r="C2" s="40"/>
      <c r="D2" s="40"/>
    </row>
    <row r="3" spans="1:4" ht="28.8" x14ac:dyDescent="0.3">
      <c r="A3" s="39" t="s">
        <v>0</v>
      </c>
      <c r="B3" s="12" t="s">
        <v>36</v>
      </c>
      <c r="C3" s="41" t="s">
        <v>35</v>
      </c>
      <c r="D3" s="35"/>
    </row>
    <row r="4" spans="1:4" x14ac:dyDescent="0.3">
      <c r="A4" s="36" t="s">
        <v>2</v>
      </c>
      <c r="B4" s="37"/>
      <c r="C4" s="68">
        <v>135284.50493195403</v>
      </c>
      <c r="D4" s="35"/>
    </row>
    <row r="5" spans="1:4" x14ac:dyDescent="0.3">
      <c r="A5" s="36" t="s">
        <v>3</v>
      </c>
      <c r="B5" s="37"/>
      <c r="C5" s="68">
        <v>121986.16012917559</v>
      </c>
      <c r="D5" s="35"/>
    </row>
    <row r="6" spans="1:4" x14ac:dyDescent="0.3">
      <c r="A6" s="36" t="s">
        <v>5</v>
      </c>
      <c r="B6" s="37"/>
      <c r="C6" s="68">
        <v>121932.68289216573</v>
      </c>
      <c r="D6" s="35"/>
    </row>
    <row r="7" spans="1:4" x14ac:dyDescent="0.3">
      <c r="A7" s="36" t="s">
        <v>6</v>
      </c>
      <c r="B7" s="37"/>
      <c r="C7" s="68">
        <v>120566.41749529804</v>
      </c>
      <c r="D7" s="35"/>
    </row>
    <row r="8" spans="1:4" x14ac:dyDescent="0.3">
      <c r="A8" s="36" t="s">
        <v>7</v>
      </c>
      <c r="B8" s="37"/>
      <c r="C8" s="68">
        <v>118436.1190494335</v>
      </c>
      <c r="D8" s="35"/>
    </row>
    <row r="9" spans="1:4" x14ac:dyDescent="0.3">
      <c r="A9" s="36" t="s">
        <v>9</v>
      </c>
      <c r="B9" s="37"/>
      <c r="C9" s="68">
        <v>111305.82475553648</v>
      </c>
      <c r="D9" s="35"/>
    </row>
    <row r="10" spans="1:4" x14ac:dyDescent="0.3">
      <c r="A10" s="38" t="s">
        <v>10</v>
      </c>
      <c r="B10" s="37"/>
      <c r="C10" s="68">
        <v>101097.11149191207</v>
      </c>
      <c r="D10" s="35"/>
    </row>
    <row r="11" spans="1:4" x14ac:dyDescent="0.3">
      <c r="A11" s="11" t="s">
        <v>4</v>
      </c>
      <c r="B11" s="43">
        <f>SUM(B4:B10)</f>
        <v>0</v>
      </c>
      <c r="C11" s="69">
        <f>SUM(C4:C10)</f>
        <v>830608.82074547547</v>
      </c>
      <c r="D11" s="35"/>
    </row>
    <row r="12" spans="1:4" x14ac:dyDescent="0.3">
      <c r="A12" s="34" t="s">
        <v>37</v>
      </c>
      <c r="B12" s="35"/>
      <c r="C12" s="35"/>
      <c r="D12" s="35"/>
    </row>
    <row r="15" spans="1:4" x14ac:dyDescent="0.3">
      <c r="A15" t="s">
        <v>38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B32DC-8129-462C-BAFE-66A8C908BC02}">
  <dimension ref="A1:B25"/>
  <sheetViews>
    <sheetView workbookViewId="0">
      <selection activeCell="B13" sqref="B13:B19"/>
    </sheetView>
  </sheetViews>
  <sheetFormatPr defaultRowHeight="14.4" x14ac:dyDescent="0.3"/>
  <cols>
    <col min="1" max="1" width="18.5546875" customWidth="1"/>
    <col min="2" max="2" width="8.88671875" customWidth="1"/>
  </cols>
  <sheetData>
    <row r="1" spans="1:2" x14ac:dyDescent="0.3">
      <c r="A1" s="73" t="s">
        <v>39</v>
      </c>
      <c r="B1" s="74"/>
    </row>
    <row r="2" spans="1:2" x14ac:dyDescent="0.3">
      <c r="A2" s="73" t="s">
        <v>40</v>
      </c>
      <c r="B2" s="74"/>
    </row>
    <row r="3" spans="1:2" x14ac:dyDescent="0.3">
      <c r="A3" s="73" t="s">
        <v>41</v>
      </c>
      <c r="B3" s="74"/>
    </row>
    <row r="4" spans="1:2" x14ac:dyDescent="0.3">
      <c r="A4" s="73" t="s">
        <v>42</v>
      </c>
      <c r="B4" s="74"/>
    </row>
    <row r="5" spans="1:2" x14ac:dyDescent="0.3">
      <c r="A5" s="73" t="s">
        <v>43</v>
      </c>
      <c r="B5" s="74"/>
    </row>
    <row r="6" spans="1:2" x14ac:dyDescent="0.3">
      <c r="A6" s="73"/>
      <c r="B6" s="74"/>
    </row>
    <row r="7" spans="1:2" x14ac:dyDescent="0.3">
      <c r="A7" s="73" t="s">
        <v>42</v>
      </c>
      <c r="B7" s="74" t="s">
        <v>44</v>
      </c>
    </row>
    <row r="8" spans="1:2" x14ac:dyDescent="0.3">
      <c r="A8" s="73" t="s">
        <v>4</v>
      </c>
      <c r="B8" s="74" t="s">
        <v>45</v>
      </c>
    </row>
    <row r="9" spans="1:2" x14ac:dyDescent="0.3">
      <c r="A9" s="73" t="s">
        <v>46</v>
      </c>
      <c r="B9" s="74" t="s">
        <v>47</v>
      </c>
    </row>
    <row r="10" spans="1:2" x14ac:dyDescent="0.3">
      <c r="A10" s="73" t="s">
        <v>48</v>
      </c>
      <c r="B10" s="74" t="s">
        <v>49</v>
      </c>
    </row>
    <row r="11" spans="1:2" x14ac:dyDescent="0.3">
      <c r="A11" s="73" t="s">
        <v>50</v>
      </c>
      <c r="B11" s="74" t="s">
        <v>51</v>
      </c>
    </row>
    <row r="12" spans="1:2" x14ac:dyDescent="0.3">
      <c r="A12" s="73" t="s">
        <v>52</v>
      </c>
      <c r="B12" s="74" t="s">
        <v>53</v>
      </c>
    </row>
    <row r="13" spans="1:2" x14ac:dyDescent="0.3">
      <c r="A13" s="73" t="s">
        <v>54</v>
      </c>
      <c r="B13" s="72" t="s">
        <v>55</v>
      </c>
    </row>
    <row r="14" spans="1:2" x14ac:dyDescent="0.3">
      <c r="A14" s="73" t="s">
        <v>56</v>
      </c>
      <c r="B14" s="72" t="s">
        <v>57</v>
      </c>
    </row>
    <row r="15" spans="1:2" x14ac:dyDescent="0.3">
      <c r="A15" s="73" t="s">
        <v>58</v>
      </c>
      <c r="B15" s="72" t="s">
        <v>59</v>
      </c>
    </row>
    <row r="16" spans="1:2" x14ac:dyDescent="0.3">
      <c r="A16" s="73" t="s">
        <v>60</v>
      </c>
      <c r="B16" s="72" t="s">
        <v>61</v>
      </c>
    </row>
    <row r="17" spans="1:2" x14ac:dyDescent="0.3">
      <c r="A17" s="73" t="s">
        <v>62</v>
      </c>
      <c r="B17" s="72" t="s">
        <v>63</v>
      </c>
    </row>
    <row r="18" spans="1:2" x14ac:dyDescent="0.3">
      <c r="A18" s="73" t="s">
        <v>64</v>
      </c>
      <c r="B18" s="72" t="s">
        <v>65</v>
      </c>
    </row>
    <row r="19" spans="1:2" x14ac:dyDescent="0.3">
      <c r="A19" s="73" t="s">
        <v>66</v>
      </c>
      <c r="B19" s="72" t="s">
        <v>67</v>
      </c>
    </row>
    <row r="20" spans="1:2" x14ac:dyDescent="0.3">
      <c r="A20" s="73" t="s">
        <v>68</v>
      </c>
      <c r="B20" s="74" t="s">
        <v>69</v>
      </c>
    </row>
    <row r="21" spans="1:2" x14ac:dyDescent="0.3">
      <c r="A21" s="73" t="s">
        <v>70</v>
      </c>
      <c r="B21" s="74" t="s">
        <v>71</v>
      </c>
    </row>
    <row r="22" spans="1:2" x14ac:dyDescent="0.3">
      <c r="A22" s="73"/>
      <c r="B22" s="74"/>
    </row>
    <row r="23" spans="1:2" x14ac:dyDescent="0.3">
      <c r="A23" s="73"/>
      <c r="B23" s="74"/>
    </row>
    <row r="24" spans="1:2" x14ac:dyDescent="0.3">
      <c r="A24" s="73"/>
      <c r="B24" s="74"/>
    </row>
    <row r="25" spans="1:2" x14ac:dyDescent="0.3">
      <c r="A25" s="73" t="s">
        <v>72</v>
      </c>
      <c r="B25" s="74"/>
    </row>
  </sheetData>
  <pageMargins left="0.7" right="0.7" top="0.75" bottom="0.75" header="0.3" footer="0.3"/>
  <ignoredErrors>
    <ignoredError sqref="B7:B2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28A09-8C28-490E-B5E2-A7A27B7295E8}">
  <dimension ref="A1:B25"/>
  <sheetViews>
    <sheetView workbookViewId="0">
      <selection activeCell="B13" sqref="B13:B19"/>
    </sheetView>
  </sheetViews>
  <sheetFormatPr defaultRowHeight="14.4" x14ac:dyDescent="0.3"/>
  <cols>
    <col min="1" max="1" width="17.77734375" customWidth="1"/>
  </cols>
  <sheetData>
    <row r="1" spans="1:2" x14ac:dyDescent="0.3">
      <c r="A1" t="s">
        <v>39</v>
      </c>
      <c r="B1" s="75"/>
    </row>
    <row r="2" spans="1:2" x14ac:dyDescent="0.3">
      <c r="A2" t="s">
        <v>73</v>
      </c>
      <c r="B2" s="75"/>
    </row>
    <row r="3" spans="1:2" x14ac:dyDescent="0.3">
      <c r="A3" t="s">
        <v>41</v>
      </c>
      <c r="B3" s="75"/>
    </row>
    <row r="4" spans="1:2" x14ac:dyDescent="0.3">
      <c r="A4" t="s">
        <v>42</v>
      </c>
      <c r="B4" s="75"/>
    </row>
    <row r="5" spans="1:2" x14ac:dyDescent="0.3">
      <c r="A5" t="s">
        <v>43</v>
      </c>
      <c r="B5" s="75"/>
    </row>
    <row r="6" spans="1:2" x14ac:dyDescent="0.3">
      <c r="B6" s="75"/>
    </row>
    <row r="7" spans="1:2" x14ac:dyDescent="0.3">
      <c r="A7" t="s">
        <v>42</v>
      </c>
      <c r="B7" s="75" t="s">
        <v>74</v>
      </c>
    </row>
    <row r="8" spans="1:2" x14ac:dyDescent="0.3">
      <c r="A8" t="s">
        <v>4</v>
      </c>
      <c r="B8" s="75" t="s">
        <v>75</v>
      </c>
    </row>
    <row r="9" spans="1:2" x14ac:dyDescent="0.3">
      <c r="A9" t="s">
        <v>46</v>
      </c>
      <c r="B9" s="75" t="s">
        <v>76</v>
      </c>
    </row>
    <row r="10" spans="1:2" x14ac:dyDescent="0.3">
      <c r="A10" t="s">
        <v>48</v>
      </c>
      <c r="B10" s="75" t="s">
        <v>69</v>
      </c>
    </row>
    <row r="11" spans="1:2" x14ac:dyDescent="0.3">
      <c r="A11" t="s">
        <v>50</v>
      </c>
      <c r="B11" s="75" t="s">
        <v>77</v>
      </c>
    </row>
    <row r="12" spans="1:2" x14ac:dyDescent="0.3">
      <c r="A12" t="s">
        <v>52</v>
      </c>
      <c r="B12" s="75" t="s">
        <v>78</v>
      </c>
    </row>
    <row r="13" spans="1:2" x14ac:dyDescent="0.3">
      <c r="A13" t="s">
        <v>54</v>
      </c>
      <c r="B13" s="76" t="s">
        <v>79</v>
      </c>
    </row>
    <row r="14" spans="1:2" x14ac:dyDescent="0.3">
      <c r="A14" t="s">
        <v>56</v>
      </c>
      <c r="B14" s="76" t="s">
        <v>80</v>
      </c>
    </row>
    <row r="15" spans="1:2" x14ac:dyDescent="0.3">
      <c r="A15" t="s">
        <v>58</v>
      </c>
      <c r="B15" s="76" t="s">
        <v>81</v>
      </c>
    </row>
    <row r="16" spans="1:2" x14ac:dyDescent="0.3">
      <c r="A16" t="s">
        <v>60</v>
      </c>
      <c r="B16" s="76" t="s">
        <v>82</v>
      </c>
    </row>
    <row r="17" spans="1:2" x14ac:dyDescent="0.3">
      <c r="A17" t="s">
        <v>62</v>
      </c>
      <c r="B17" s="76" t="s">
        <v>83</v>
      </c>
    </row>
    <row r="18" spans="1:2" x14ac:dyDescent="0.3">
      <c r="A18" t="s">
        <v>64</v>
      </c>
      <c r="B18" s="76" t="s">
        <v>84</v>
      </c>
    </row>
    <row r="19" spans="1:2" x14ac:dyDescent="0.3">
      <c r="A19" t="s">
        <v>66</v>
      </c>
      <c r="B19" s="76" t="s">
        <v>85</v>
      </c>
    </row>
    <row r="20" spans="1:2" x14ac:dyDescent="0.3">
      <c r="A20" t="s">
        <v>68</v>
      </c>
      <c r="B20" s="75" t="s">
        <v>86</v>
      </c>
    </row>
    <row r="21" spans="1:2" x14ac:dyDescent="0.3">
      <c r="A21" t="s">
        <v>70</v>
      </c>
      <c r="B21" s="75" t="s">
        <v>87</v>
      </c>
    </row>
    <row r="22" spans="1:2" x14ac:dyDescent="0.3">
      <c r="B22" s="75"/>
    </row>
    <row r="23" spans="1:2" x14ac:dyDescent="0.3">
      <c r="B23" s="75"/>
    </row>
    <row r="24" spans="1:2" x14ac:dyDescent="0.3">
      <c r="B24" s="75"/>
    </row>
    <row r="25" spans="1:2" x14ac:dyDescent="0.3">
      <c r="A25" t="s">
        <v>72</v>
      </c>
      <c r="B25" s="75"/>
    </row>
  </sheetData>
  <pageMargins left="0.7" right="0.7" top="0.75" bottom="0.75" header="0.3" footer="0.3"/>
  <ignoredErrors>
    <ignoredError sqref="B7:B2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29"/>
  <sheetViews>
    <sheetView tabSelected="1" topLeftCell="A2" zoomScale="91" zoomScaleNormal="100" workbookViewId="0">
      <selection activeCell="G19" sqref="G19:G25"/>
    </sheetView>
  </sheetViews>
  <sheetFormatPr defaultColWidth="11.44140625" defaultRowHeight="13.2" x14ac:dyDescent="0.25"/>
  <cols>
    <col min="1" max="1" width="8.77734375" style="13" bestFit="1" customWidth="1"/>
    <col min="2" max="2" width="10.44140625" style="13" customWidth="1"/>
    <col min="3" max="4" width="6.44140625" style="13" customWidth="1"/>
    <col min="5" max="5" width="13.44140625" style="13" customWidth="1"/>
    <col min="6" max="6" width="11.44140625" style="13" bestFit="1" customWidth="1"/>
    <col min="7" max="7" width="11.44140625" style="13"/>
    <col min="8" max="8" width="11.77734375" style="13" bestFit="1" customWidth="1"/>
    <col min="9" max="12" width="11.44140625" style="13"/>
    <col min="13" max="14" width="11.44140625" style="2"/>
    <col min="15" max="15" width="12.44140625" style="2" customWidth="1"/>
    <col min="16" max="16384" width="11.44140625" style="2"/>
  </cols>
  <sheetData>
    <row r="1" spans="1:15" x14ac:dyDescent="0.25">
      <c r="A1" s="1" t="s">
        <v>34</v>
      </c>
      <c r="I1" s="13" t="s">
        <v>8</v>
      </c>
    </row>
    <row r="2" spans="1:15" x14ac:dyDescent="0.25">
      <c r="A2" s="14"/>
      <c r="B2" s="14"/>
      <c r="C2" s="14"/>
      <c r="D2" s="14"/>
      <c r="E2" s="14"/>
      <c r="F2" s="14"/>
      <c r="G2" s="15"/>
      <c r="H2" s="14"/>
      <c r="I2" s="15">
        <f>100/205</f>
        <v>0.48780487804878048</v>
      </c>
      <c r="J2" s="14"/>
      <c r="K2" s="14"/>
      <c r="L2" s="14"/>
      <c r="N2" s="44">
        <f>G27-G12</f>
        <v>-0.3827984235095947</v>
      </c>
    </row>
    <row r="3" spans="1:15" ht="39.6" x14ac:dyDescent="0.3">
      <c r="A3" s="5" t="s">
        <v>0</v>
      </c>
      <c r="B3" s="5" t="s">
        <v>17</v>
      </c>
      <c r="C3" s="5" t="s">
        <v>18</v>
      </c>
      <c r="D3" s="5" t="s">
        <v>19</v>
      </c>
      <c r="E3" s="5" t="s">
        <v>20</v>
      </c>
      <c r="F3" s="6" t="s">
        <v>21</v>
      </c>
      <c r="G3" s="5" t="s">
        <v>22</v>
      </c>
      <c r="H3" s="5" t="s">
        <v>23</v>
      </c>
      <c r="I3" s="5" t="s">
        <v>24</v>
      </c>
      <c r="J3" s="5" t="s">
        <v>25</v>
      </c>
      <c r="K3" s="5" t="s">
        <v>26</v>
      </c>
      <c r="L3" s="5" t="s">
        <v>27</v>
      </c>
      <c r="O3"/>
    </row>
    <row r="4" spans="1:15" x14ac:dyDescent="0.25">
      <c r="A4" s="3" t="s">
        <v>2</v>
      </c>
      <c r="B4" s="3">
        <v>17.5</v>
      </c>
      <c r="C4" s="16">
        <v>15</v>
      </c>
      <c r="D4" s="16">
        <v>19</v>
      </c>
      <c r="E4" s="7" t="s">
        <v>55</v>
      </c>
      <c r="F4" s="8">
        <v>136150.80650320055</v>
      </c>
      <c r="G4" s="17">
        <f>E4/F4</f>
        <v>5.4828907677638448E-2</v>
      </c>
      <c r="H4" s="18">
        <f t="shared" ref="H4:H10" si="0">G4/$G$11</f>
        <v>0.16248160575187565</v>
      </c>
      <c r="I4" s="19">
        <f t="shared" ref="I4:I10" si="1">G4*$I$2</f>
        <v>2.6745808623238266E-2</v>
      </c>
      <c r="J4" s="16">
        <v>491427.5</v>
      </c>
      <c r="K4" s="19">
        <f>J4/(5*100000)</f>
        <v>0.98285500000000003</v>
      </c>
      <c r="L4" s="19">
        <f>K4*I4</f>
        <v>2.6287251734392846E-2</v>
      </c>
    </row>
    <row r="5" spans="1:15" x14ac:dyDescent="0.25">
      <c r="A5" s="3" t="s">
        <v>3</v>
      </c>
      <c r="B5" s="3">
        <v>22.5</v>
      </c>
      <c r="C5" s="16">
        <v>20</v>
      </c>
      <c r="D5" s="16">
        <v>24</v>
      </c>
      <c r="E5" s="7" t="s">
        <v>57</v>
      </c>
      <c r="F5" s="8">
        <v>120933.49100213019</v>
      </c>
      <c r="G5" s="17">
        <f t="shared" ref="G5:G10" si="2">E5/F5</f>
        <v>0.10070824797231291</v>
      </c>
      <c r="H5" s="18">
        <f t="shared" si="0"/>
        <v>0.29844179897228007</v>
      </c>
      <c r="I5" s="19">
        <f t="shared" si="1"/>
        <v>4.9125974620640445E-2</v>
      </c>
      <c r="J5" s="16">
        <v>490150.53</v>
      </c>
      <c r="K5" s="19">
        <f t="shared" ref="K5:K9" si="3">J5/(5*100000)</f>
        <v>0.98030106000000006</v>
      </c>
      <c r="L5" s="19">
        <f t="shared" ref="L5:L10" si="4">K5*I5</f>
        <v>4.8158244994146927E-2</v>
      </c>
    </row>
    <row r="6" spans="1:15" x14ac:dyDescent="0.25">
      <c r="A6" s="3" t="s">
        <v>5</v>
      </c>
      <c r="B6" s="3">
        <v>27.5</v>
      </c>
      <c r="C6" s="16">
        <v>25</v>
      </c>
      <c r="D6" s="16">
        <v>29</v>
      </c>
      <c r="E6" s="7" t="s">
        <v>59</v>
      </c>
      <c r="F6" s="8">
        <v>110160.04792208644</v>
      </c>
      <c r="G6" s="17">
        <f t="shared" si="2"/>
        <v>9.098579919908012E-2</v>
      </c>
      <c r="H6" s="18">
        <f t="shared" si="0"/>
        <v>0.26963000688254829</v>
      </c>
      <c r="I6" s="19">
        <f t="shared" si="1"/>
        <v>4.4383316682478108E-2</v>
      </c>
      <c r="J6" s="16">
        <v>488914.48</v>
      </c>
      <c r="K6" s="19">
        <f t="shared" si="3"/>
        <v>0.97782895999999997</v>
      </c>
      <c r="L6" s="19">
        <f t="shared" si="4"/>
        <v>4.3399292392978218E-2</v>
      </c>
    </row>
    <row r="7" spans="1:15" x14ac:dyDescent="0.25">
      <c r="A7" s="3" t="s">
        <v>6</v>
      </c>
      <c r="B7" s="3">
        <v>32.5</v>
      </c>
      <c r="C7" s="16">
        <v>30</v>
      </c>
      <c r="D7" s="16">
        <v>34</v>
      </c>
      <c r="E7" s="7" t="s">
        <v>61</v>
      </c>
      <c r="F7" s="8">
        <v>107680.46982477019</v>
      </c>
      <c r="G7" s="17">
        <f t="shared" si="2"/>
        <v>5.7754205661623308E-2</v>
      </c>
      <c r="H7" s="18">
        <f t="shared" si="0"/>
        <v>0.17115052026928879</v>
      </c>
      <c r="I7" s="19">
        <f t="shared" si="1"/>
        <v>2.8172783249572345E-2</v>
      </c>
      <c r="J7" s="16">
        <v>487118.46</v>
      </c>
      <c r="K7" s="19">
        <f t="shared" si="3"/>
        <v>0.97423692000000006</v>
      </c>
      <c r="L7" s="19">
        <f t="shared" si="4"/>
        <v>2.7446965580890954E-2</v>
      </c>
    </row>
    <row r="8" spans="1:15" x14ac:dyDescent="0.25">
      <c r="A8" s="3" t="s">
        <v>7</v>
      </c>
      <c r="B8" s="3">
        <v>37.5</v>
      </c>
      <c r="C8" s="16">
        <v>35</v>
      </c>
      <c r="D8" s="16">
        <v>39</v>
      </c>
      <c r="E8" s="7" t="s">
        <v>63</v>
      </c>
      <c r="F8" s="8">
        <v>103526.30677424051</v>
      </c>
      <c r="G8" s="17">
        <f t="shared" si="2"/>
        <v>2.6572956050669293E-2</v>
      </c>
      <c r="H8" s="18">
        <f t="shared" si="0"/>
        <v>7.8747083455898828E-2</v>
      </c>
      <c r="I8" s="19">
        <f t="shared" si="1"/>
        <v>1.2962417585692339E-2</v>
      </c>
      <c r="J8" s="16">
        <v>484955.76</v>
      </c>
      <c r="K8" s="19">
        <f t="shared" si="3"/>
        <v>0.96991152000000003</v>
      </c>
      <c r="L8" s="19">
        <f t="shared" si="4"/>
        <v>1.2572398143413587E-2</v>
      </c>
    </row>
    <row r="9" spans="1:15" x14ac:dyDescent="0.25">
      <c r="A9" s="3" t="s">
        <v>9</v>
      </c>
      <c r="B9" s="3">
        <v>42.5</v>
      </c>
      <c r="C9" s="16">
        <v>40</v>
      </c>
      <c r="D9" s="16">
        <v>44</v>
      </c>
      <c r="E9" s="7" t="s">
        <v>65</v>
      </c>
      <c r="F9" s="8">
        <v>87447.523552606071</v>
      </c>
      <c r="G9" s="17">
        <f t="shared" si="2"/>
        <v>6.1179548404038959E-3</v>
      </c>
      <c r="H9" s="18">
        <f t="shared" si="0"/>
        <v>1.8130128220513554E-2</v>
      </c>
      <c r="I9" s="19">
        <f t="shared" si="1"/>
        <v>2.9843682148311687E-3</v>
      </c>
      <c r="J9" s="16">
        <v>482043.42</v>
      </c>
      <c r="K9" s="19">
        <f t="shared" si="3"/>
        <v>0.96408684</v>
      </c>
      <c r="L9" s="19">
        <f t="shared" si="4"/>
        <v>2.8771901216330226E-3</v>
      </c>
    </row>
    <row r="10" spans="1:15" x14ac:dyDescent="0.25">
      <c r="A10" s="3" t="s">
        <v>10</v>
      </c>
      <c r="B10" s="3">
        <v>47.5</v>
      </c>
      <c r="C10" s="16">
        <v>45</v>
      </c>
      <c r="D10" s="16">
        <v>49</v>
      </c>
      <c r="E10" s="7" t="s">
        <v>67</v>
      </c>
      <c r="F10" s="8">
        <v>75189.751816797492</v>
      </c>
      <c r="G10" s="17">
        <f t="shared" si="2"/>
        <v>4.7878865310947271E-4</v>
      </c>
      <c r="H10" s="18">
        <f t="shared" si="0"/>
        <v>1.4188564475949377E-3</v>
      </c>
      <c r="I10" s="19">
        <f t="shared" si="1"/>
        <v>2.335554405412062E-4</v>
      </c>
      <c r="J10" s="16">
        <v>476930.13</v>
      </c>
      <c r="K10" s="19">
        <f>J10/(5*100000)</f>
        <v>0.95386026000000002</v>
      </c>
      <c r="L10" s="19">
        <f t="shared" si="4"/>
        <v>2.2277925323904948E-4</v>
      </c>
    </row>
    <row r="11" spans="1:15" x14ac:dyDescent="0.25">
      <c r="A11" s="20" t="s">
        <v>4</v>
      </c>
      <c r="B11" s="21"/>
      <c r="C11" s="21"/>
      <c r="D11" s="21"/>
      <c r="E11" s="9"/>
      <c r="F11" s="10"/>
      <c r="G11" s="22">
        <f>SUM(G4:G10)</f>
        <v>0.33744686005483743</v>
      </c>
      <c r="H11" s="23"/>
      <c r="I11" s="23"/>
      <c r="J11" s="24"/>
      <c r="K11" s="24"/>
      <c r="L11" s="25">
        <f>SUM(L4:L10)</f>
        <v>0.16096412222069462</v>
      </c>
    </row>
    <row r="12" spans="1:15" x14ac:dyDescent="0.25">
      <c r="A12" s="26"/>
      <c r="B12" s="26"/>
      <c r="C12" s="26"/>
      <c r="D12" s="26"/>
      <c r="E12" s="26"/>
      <c r="F12" s="27" t="s">
        <v>14</v>
      </c>
      <c r="G12" s="28">
        <f>SUM(G4:G10)*5</f>
        <v>1.6872343002741872</v>
      </c>
      <c r="H12" s="29"/>
    </row>
    <row r="13" spans="1:15" x14ac:dyDescent="0.25">
      <c r="F13" s="30" t="s">
        <v>15</v>
      </c>
      <c r="G13" s="42"/>
      <c r="H13" s="31"/>
      <c r="I13" s="45">
        <f>G12*I2</f>
        <v>0.82304112208496938</v>
      </c>
      <c r="K13" s="46" t="s">
        <v>28</v>
      </c>
      <c r="L13" s="45"/>
    </row>
    <row r="14" spans="1:15" x14ac:dyDescent="0.25">
      <c r="F14" s="30" t="s">
        <v>16</v>
      </c>
      <c r="G14" s="32"/>
      <c r="H14" s="33"/>
      <c r="I14" s="33"/>
      <c r="J14" s="33"/>
      <c r="K14" s="33"/>
      <c r="L14" s="28">
        <f>L11*5</f>
        <v>0.80482061110347303</v>
      </c>
    </row>
    <row r="16" spans="1:15" x14ac:dyDescent="0.25">
      <c r="A16" s="1" t="s">
        <v>36</v>
      </c>
    </row>
    <row r="17" spans="1:16" x14ac:dyDescent="0.25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</row>
    <row r="18" spans="1:16" ht="39.6" x14ac:dyDescent="0.25">
      <c r="A18" s="5" t="s">
        <v>0</v>
      </c>
      <c r="B18" s="5" t="s">
        <v>17</v>
      </c>
      <c r="C18" s="5" t="s">
        <v>18</v>
      </c>
      <c r="D18" s="5" t="s">
        <v>19</v>
      </c>
      <c r="E18" s="5" t="s">
        <v>20</v>
      </c>
      <c r="F18" s="6" t="s">
        <v>88</v>
      </c>
      <c r="G18" s="5" t="s">
        <v>22</v>
      </c>
      <c r="H18" s="5" t="s">
        <v>23</v>
      </c>
      <c r="I18" s="5" t="s">
        <v>24</v>
      </c>
      <c r="J18" s="5" t="s">
        <v>25</v>
      </c>
      <c r="K18" s="5" t="s">
        <v>26</v>
      </c>
      <c r="L18" s="5" t="s">
        <v>27</v>
      </c>
    </row>
    <row r="19" spans="1:16" x14ac:dyDescent="0.25">
      <c r="A19" s="3" t="s">
        <v>2</v>
      </c>
      <c r="B19" s="3">
        <v>17.5</v>
      </c>
      <c r="C19" s="16">
        <v>15</v>
      </c>
      <c r="D19" s="16">
        <v>19</v>
      </c>
      <c r="E19" s="7" t="s">
        <v>79</v>
      </c>
      <c r="F19" s="8">
        <v>135284.50493195403</v>
      </c>
      <c r="G19" s="17">
        <f>E19/F19</f>
        <v>4.0115458919184395E-2</v>
      </c>
      <c r="H19" s="18">
        <f>G19/$G$26</f>
        <v>0.15376554583381757</v>
      </c>
      <c r="I19" s="19">
        <f t="shared" ref="I19:I25" si="5">G19*$I$2</f>
        <v>1.9568516545943607E-2</v>
      </c>
      <c r="J19" s="16">
        <v>493033.97</v>
      </c>
      <c r="K19" s="19">
        <f>J19/(5*100000)</f>
        <v>0.98606793999999998</v>
      </c>
      <c r="L19" s="19">
        <f t="shared" ref="L19:L25" si="6">K19*I19</f>
        <v>1.9295886799314529E-2</v>
      </c>
    </row>
    <row r="20" spans="1:16" x14ac:dyDescent="0.25">
      <c r="A20" s="3" t="s">
        <v>3</v>
      </c>
      <c r="B20" s="3">
        <v>22.5</v>
      </c>
      <c r="C20" s="16">
        <v>20</v>
      </c>
      <c r="D20" s="16">
        <v>24</v>
      </c>
      <c r="E20" s="7" t="s">
        <v>80</v>
      </c>
      <c r="F20" s="8">
        <v>121986.16012917559</v>
      </c>
      <c r="G20" s="17">
        <f>E20/F20</f>
        <v>7.292630566106599E-2</v>
      </c>
      <c r="H20" s="18">
        <f t="shared" ref="H20:H25" si="7">G20/$G$26</f>
        <v>0.27953196841666894</v>
      </c>
      <c r="I20" s="19">
        <f t="shared" si="5"/>
        <v>3.5573807639544382E-2</v>
      </c>
      <c r="J20" s="16">
        <v>491914.02</v>
      </c>
      <c r="K20" s="19">
        <f>J20/(5*100000)</f>
        <v>0.98382804000000001</v>
      </c>
      <c r="L20" s="19">
        <f t="shared" si="6"/>
        <v>3.4998509445349976E-2</v>
      </c>
      <c r="O20" s="2" t="s">
        <v>36</v>
      </c>
      <c r="P20" s="2" t="s">
        <v>34</v>
      </c>
    </row>
    <row r="21" spans="1:16" x14ac:dyDescent="0.25">
      <c r="A21" s="3" t="s">
        <v>5</v>
      </c>
      <c r="B21" s="3">
        <v>27.5</v>
      </c>
      <c r="C21" s="16">
        <v>25</v>
      </c>
      <c r="D21" s="16">
        <v>29</v>
      </c>
      <c r="E21" s="7" t="s">
        <v>81</v>
      </c>
      <c r="F21" s="8">
        <v>121932.68289216573</v>
      </c>
      <c r="G21" s="17">
        <f t="shared" ref="G21:G24" si="8">E21/F21</f>
        <v>7.2523623611403118E-2</v>
      </c>
      <c r="H21" s="18">
        <f t="shared" si="7"/>
        <v>0.27798845808842787</v>
      </c>
      <c r="I21" s="19">
        <f t="shared" si="5"/>
        <v>3.5377377371416156E-2</v>
      </c>
      <c r="J21" s="16">
        <v>490544.63</v>
      </c>
      <c r="K21" s="19">
        <f>J21/(5*100000)</f>
        <v>0.98108925999999996</v>
      </c>
      <c r="L21" s="19">
        <f t="shared" si="6"/>
        <v>3.4708364986063424E-2</v>
      </c>
      <c r="N21" s="2" t="str">
        <f>F28</f>
        <v>TBR</v>
      </c>
      <c r="O21" s="67">
        <f>I28</f>
        <v>0.63631018378760607</v>
      </c>
      <c r="P21" s="67">
        <f>I13</f>
        <v>0.82304112208496938</v>
      </c>
    </row>
    <row r="22" spans="1:16" x14ac:dyDescent="0.25">
      <c r="A22" s="3" t="s">
        <v>6</v>
      </c>
      <c r="B22" s="3">
        <v>32.5</v>
      </c>
      <c r="C22" s="16">
        <v>30</v>
      </c>
      <c r="D22" s="16">
        <v>34</v>
      </c>
      <c r="E22" s="7" t="s">
        <v>82</v>
      </c>
      <c r="F22" s="8">
        <v>120566.41749529804</v>
      </c>
      <c r="G22" s="17">
        <f t="shared" si="8"/>
        <v>4.6679665174753041E-2</v>
      </c>
      <c r="H22" s="18">
        <f t="shared" si="7"/>
        <v>0.17892663796756786</v>
      </c>
      <c r="I22" s="19">
        <f t="shared" si="5"/>
        <v>2.2770568377928312E-2</v>
      </c>
      <c r="J22" s="16">
        <v>488786.61</v>
      </c>
      <c r="K22" s="19">
        <f t="shared" ref="K22:K24" si="9">J22/(5*100000)</f>
        <v>0.97757322000000002</v>
      </c>
      <c r="L22" s="19">
        <f t="shared" si="6"/>
        <v>2.2259897850441558E-2</v>
      </c>
      <c r="N22" s="2" t="str">
        <f>F29</f>
        <v>TNR</v>
      </c>
      <c r="O22" s="67">
        <f>L29</f>
        <v>0.62414976553654244</v>
      </c>
      <c r="P22" s="67">
        <f>L14</f>
        <v>0.80482061110347303</v>
      </c>
    </row>
    <row r="23" spans="1:16" x14ac:dyDescent="0.25">
      <c r="A23" s="3" t="s">
        <v>7</v>
      </c>
      <c r="B23" s="3">
        <v>37.5</v>
      </c>
      <c r="C23" s="16">
        <v>35</v>
      </c>
      <c r="D23" s="16">
        <v>39</v>
      </c>
      <c r="E23" s="7" t="s">
        <v>83</v>
      </c>
      <c r="F23" s="8">
        <v>118436.1190494335</v>
      </c>
      <c r="G23" s="17">
        <f t="shared" si="8"/>
        <v>2.2594458696194503E-2</v>
      </c>
      <c r="H23" s="18">
        <f t="shared" si="7"/>
        <v>8.6606245269164939E-2</v>
      </c>
      <c r="I23" s="19">
        <f t="shared" si="5"/>
        <v>1.1021687168875367E-2</v>
      </c>
      <c r="J23" s="16">
        <v>486346.51</v>
      </c>
      <c r="K23" s="19">
        <f t="shared" si="9"/>
        <v>0.97269302000000002</v>
      </c>
      <c r="L23" s="19">
        <f t="shared" si="6"/>
        <v>1.0720718177788632E-2</v>
      </c>
      <c r="N23" s="2" t="s">
        <v>29</v>
      </c>
      <c r="O23" s="67">
        <f>O21-O22</f>
        <v>1.2160418251063621E-2</v>
      </c>
      <c r="P23" s="67">
        <f>P21-P22</f>
        <v>1.8220510981496352E-2</v>
      </c>
    </row>
    <row r="24" spans="1:16" x14ac:dyDescent="0.25">
      <c r="A24" s="3" t="s">
        <v>9</v>
      </c>
      <c r="B24" s="3">
        <v>42.5</v>
      </c>
      <c r="C24" s="16">
        <v>40</v>
      </c>
      <c r="D24" s="16">
        <v>44</v>
      </c>
      <c r="E24" s="7" t="s">
        <v>84</v>
      </c>
      <c r="F24" s="8">
        <v>111305.82475553648</v>
      </c>
      <c r="G24" s="17">
        <f t="shared" si="8"/>
        <v>5.6421126331824114E-3</v>
      </c>
      <c r="H24" s="18">
        <f t="shared" si="7"/>
        <v>2.1626638509731153E-2</v>
      </c>
      <c r="I24" s="19">
        <f t="shared" si="5"/>
        <v>2.7522500649670299E-3</v>
      </c>
      <c r="J24" s="16">
        <v>482824.8</v>
      </c>
      <c r="K24" s="19">
        <f t="shared" si="9"/>
        <v>0.9656496</v>
      </c>
      <c r="L24" s="19">
        <f t="shared" si="6"/>
        <v>2.6577091743353863E-3</v>
      </c>
    </row>
    <row r="25" spans="1:16" x14ac:dyDescent="0.25">
      <c r="A25" s="3" t="s">
        <v>10</v>
      </c>
      <c r="B25" s="3">
        <v>47.5</v>
      </c>
      <c r="C25" s="16">
        <v>45</v>
      </c>
      <c r="D25" s="16">
        <v>49</v>
      </c>
      <c r="E25" s="7" t="s">
        <v>85</v>
      </c>
      <c r="F25" s="8">
        <v>101097.11149191207</v>
      </c>
      <c r="G25" s="17">
        <f>E25/F25</f>
        <v>4.0555065713504648E-4</v>
      </c>
      <c r="H25" s="18">
        <f t="shared" si="7"/>
        <v>1.5545059146216467E-3</v>
      </c>
      <c r="I25" s="19">
        <f t="shared" si="5"/>
        <v>1.9782958884636414E-4</v>
      </c>
      <c r="J25" s="16">
        <v>477346.88</v>
      </c>
      <c r="K25" s="19">
        <f>J25/(5*100000)</f>
        <v>0.95469376000000006</v>
      </c>
      <c r="L25" s="19">
        <f t="shared" si="6"/>
        <v>1.8886667401498946E-4</v>
      </c>
    </row>
    <row r="26" spans="1:16" x14ac:dyDescent="0.25">
      <c r="A26" s="20" t="s">
        <v>4</v>
      </c>
      <c r="B26" s="21"/>
      <c r="C26" s="21"/>
      <c r="D26" s="21"/>
      <c r="E26" s="9"/>
      <c r="F26" s="10"/>
      <c r="G26" s="22">
        <f>SUM(G19:G25)</f>
        <v>0.2608871753529185</v>
      </c>
      <c r="H26" s="23"/>
      <c r="I26" s="23"/>
      <c r="J26" s="24"/>
      <c r="K26" s="24"/>
      <c r="L26" s="25">
        <f>SUM(L19:L25)</f>
        <v>0.12482995310730849</v>
      </c>
    </row>
    <row r="27" spans="1:16" x14ac:dyDescent="0.25">
      <c r="A27" s="26"/>
      <c r="B27" s="26"/>
      <c r="C27" s="26"/>
      <c r="D27" s="26"/>
      <c r="E27" s="26"/>
      <c r="F27" s="27" t="s">
        <v>14</v>
      </c>
      <c r="G27" s="28">
        <f>SUM(G19:G25)*5</f>
        <v>1.3044358767645925</v>
      </c>
      <c r="H27" s="29"/>
    </row>
    <row r="28" spans="1:16" x14ac:dyDescent="0.25">
      <c r="F28" s="30" t="s">
        <v>15</v>
      </c>
      <c r="G28" s="42"/>
      <c r="H28" s="31"/>
      <c r="I28" s="45">
        <f>G27*I2</f>
        <v>0.63631018378760607</v>
      </c>
      <c r="K28" s="46" t="s">
        <v>28</v>
      </c>
      <c r="L28" s="45"/>
    </row>
    <row r="29" spans="1:16" x14ac:dyDescent="0.25">
      <c r="F29" s="30" t="s">
        <v>16</v>
      </c>
      <c r="G29" s="32"/>
      <c r="H29" s="33"/>
      <c r="I29" s="33"/>
      <c r="J29" s="33"/>
      <c r="K29" s="33"/>
      <c r="L29" s="28">
        <f>L26*5</f>
        <v>0.62414976553654244</v>
      </c>
    </row>
  </sheetData>
  <pageMargins left="0.7" right="0.7" top="0.75" bottom="0.75" header="0.3" footer="0.3"/>
  <pageSetup paperSize="9" orientation="portrait" r:id="rId1"/>
  <ignoredErrors>
    <ignoredError sqref="E4:E10 E19:E25" numberStoredAsText="1"/>
  </ignoredErrors>
  <drawing r:id="rId2"/>
  <legacyDrawing r:id="rId3"/>
  <oleObjects>
    <mc:AlternateContent xmlns:mc="http://schemas.openxmlformats.org/markup-compatibility/2006">
      <mc:Choice Requires="x14">
        <oleObject progId="PBrush" shapeId="6146" r:id="rId4">
          <objectPr defaultSize="0" r:id="rId5">
            <anchor moveWithCells="1" sizeWithCells="1">
              <from>
                <xdr:col>3</xdr:col>
                <xdr:colOff>0</xdr:colOff>
                <xdr:row>11</xdr:row>
                <xdr:rowOff>60960</xdr:rowOff>
              </from>
              <to>
                <xdr:col>4</xdr:col>
                <xdr:colOff>838200</xdr:colOff>
                <xdr:row>13</xdr:row>
                <xdr:rowOff>152400</xdr:rowOff>
              </to>
            </anchor>
          </objectPr>
        </oleObject>
      </mc:Choice>
      <mc:Fallback>
        <oleObject progId="PBrush" shapeId="6146" r:id="rId4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69B33-6012-476B-8B6A-F88C249C290E}">
  <dimension ref="B2:J13"/>
  <sheetViews>
    <sheetView workbookViewId="0">
      <selection activeCell="B2" sqref="B2:J13"/>
    </sheetView>
  </sheetViews>
  <sheetFormatPr defaultColWidth="8.77734375" defaultRowHeight="14.4" x14ac:dyDescent="0.3"/>
  <cols>
    <col min="9" max="10" width="10" customWidth="1"/>
  </cols>
  <sheetData>
    <row r="2" spans="2:10" ht="16.2" thickBot="1" x14ac:dyDescent="0.35">
      <c r="B2" s="78" t="s">
        <v>16</v>
      </c>
      <c r="C2" s="78"/>
      <c r="D2" s="78"/>
      <c r="E2" s="78"/>
      <c r="F2" s="78"/>
      <c r="G2" s="78"/>
      <c r="H2" s="78"/>
      <c r="I2" s="78"/>
      <c r="J2" s="78"/>
    </row>
    <row r="3" spans="2:10" ht="16.2" thickBot="1" x14ac:dyDescent="0.35">
      <c r="B3" s="79" t="s">
        <v>0</v>
      </c>
      <c r="C3" s="81" t="s">
        <v>22</v>
      </c>
      <c r="D3" s="82"/>
      <c r="E3" s="83" t="s">
        <v>30</v>
      </c>
      <c r="F3" s="82"/>
      <c r="G3" s="83" t="s">
        <v>31</v>
      </c>
      <c r="H3" s="82"/>
      <c r="I3" s="83" t="s">
        <v>32</v>
      </c>
      <c r="J3" s="84"/>
    </row>
    <row r="4" spans="2:10" ht="16.2" thickBot="1" x14ac:dyDescent="0.35">
      <c r="B4" s="80"/>
      <c r="C4" s="48" t="s">
        <v>12</v>
      </c>
      <c r="D4" s="51" t="s">
        <v>13</v>
      </c>
      <c r="E4" s="48" t="s">
        <v>12</v>
      </c>
      <c r="F4" s="51" t="s">
        <v>13</v>
      </c>
      <c r="G4" s="48" t="s">
        <v>12</v>
      </c>
      <c r="H4" s="51" t="s">
        <v>13</v>
      </c>
      <c r="I4" s="48" t="s">
        <v>12</v>
      </c>
      <c r="J4" s="52" t="s">
        <v>13</v>
      </c>
    </row>
    <row r="5" spans="2:10" ht="15.6" x14ac:dyDescent="0.3">
      <c r="B5" s="47" t="s">
        <v>2</v>
      </c>
      <c r="C5" s="53">
        <f>'TGF, TBR y TNR'!G19</f>
        <v>4.0115458919184395E-2</v>
      </c>
      <c r="D5" s="56">
        <f>'TGF, TBR y TNR'!G4</f>
        <v>5.4828907677638448E-2</v>
      </c>
      <c r="E5" s="59">
        <f>'TGF, TBR y TNR'!J19</f>
        <v>493033.97</v>
      </c>
      <c r="F5" s="59">
        <f>'TGF, TBR y TNR'!J4</f>
        <v>491427.5</v>
      </c>
      <c r="G5" s="53">
        <f>'TGF, TBR y TNR'!K19</f>
        <v>0.98606793999999998</v>
      </c>
      <c r="H5" s="56">
        <f>'TGF, TBR y TNR'!K4</f>
        <v>0.98285500000000003</v>
      </c>
      <c r="I5" s="61">
        <f>'TGF, TBR y TNR'!L19</f>
        <v>1.9295886799314529E-2</v>
      </c>
      <c r="J5" s="57">
        <f>'TGF, TBR y TNR'!L4</f>
        <v>2.6287251734392846E-2</v>
      </c>
    </row>
    <row r="6" spans="2:10" ht="15.6" x14ac:dyDescent="0.3">
      <c r="B6" s="47" t="s">
        <v>3</v>
      </c>
      <c r="C6" s="54">
        <f>'TGF, TBR y TNR'!G20</f>
        <v>7.292630566106599E-2</v>
      </c>
      <c r="D6" s="57">
        <f>'TGF, TBR y TNR'!G5</f>
        <v>0.10070824797231291</v>
      </c>
      <c r="E6" s="59">
        <f>'TGF, TBR y TNR'!J20</f>
        <v>491914.02</v>
      </c>
      <c r="F6" s="59">
        <f>'TGF, TBR y TNR'!J5</f>
        <v>490150.53</v>
      </c>
      <c r="G6" s="54">
        <f>'TGF, TBR y TNR'!K20</f>
        <v>0.98382804000000001</v>
      </c>
      <c r="H6" s="57">
        <f>'TGF, TBR y TNR'!K5</f>
        <v>0.98030106000000006</v>
      </c>
      <c r="I6" s="61">
        <f>'TGF, TBR y TNR'!L20</f>
        <v>3.4998509445349976E-2</v>
      </c>
      <c r="J6" s="57">
        <f>'TGF, TBR y TNR'!L5</f>
        <v>4.8158244994146927E-2</v>
      </c>
    </row>
    <row r="7" spans="2:10" ht="15.6" x14ac:dyDescent="0.3">
      <c r="B7" s="47" t="s">
        <v>5</v>
      </c>
      <c r="C7" s="54">
        <f>'TGF, TBR y TNR'!G21</f>
        <v>7.2523623611403118E-2</v>
      </c>
      <c r="D7" s="57">
        <f>'TGF, TBR y TNR'!G6</f>
        <v>9.098579919908012E-2</v>
      </c>
      <c r="E7" s="59">
        <f>'TGF, TBR y TNR'!J21</f>
        <v>490544.63</v>
      </c>
      <c r="F7" s="59">
        <f>'TGF, TBR y TNR'!J6</f>
        <v>488914.48</v>
      </c>
      <c r="G7" s="54">
        <f>'TGF, TBR y TNR'!K21</f>
        <v>0.98108925999999996</v>
      </c>
      <c r="H7" s="57">
        <f>'TGF, TBR y TNR'!K6</f>
        <v>0.97782895999999997</v>
      </c>
      <c r="I7" s="61">
        <f>'TGF, TBR y TNR'!L21</f>
        <v>3.4708364986063424E-2</v>
      </c>
      <c r="J7" s="57">
        <f>'TGF, TBR y TNR'!L6</f>
        <v>4.3399292392978218E-2</v>
      </c>
    </row>
    <row r="8" spans="2:10" ht="15.6" x14ac:dyDescent="0.3">
      <c r="B8" s="47" t="s">
        <v>6</v>
      </c>
      <c r="C8" s="54">
        <f>'TGF, TBR y TNR'!G22</f>
        <v>4.6679665174753041E-2</v>
      </c>
      <c r="D8" s="57">
        <f>'TGF, TBR y TNR'!G7</f>
        <v>5.7754205661623308E-2</v>
      </c>
      <c r="E8" s="59">
        <f>'TGF, TBR y TNR'!J22</f>
        <v>488786.61</v>
      </c>
      <c r="F8" s="59">
        <f>'TGF, TBR y TNR'!J7</f>
        <v>487118.46</v>
      </c>
      <c r="G8" s="54">
        <f>'TGF, TBR y TNR'!K22</f>
        <v>0.97757322000000002</v>
      </c>
      <c r="H8" s="57">
        <f>'TGF, TBR y TNR'!K7</f>
        <v>0.97423692000000006</v>
      </c>
      <c r="I8" s="61">
        <f>'TGF, TBR y TNR'!L22</f>
        <v>2.2259897850441558E-2</v>
      </c>
      <c r="J8" s="57">
        <f>'TGF, TBR y TNR'!L7</f>
        <v>2.7446965580890954E-2</v>
      </c>
    </row>
    <row r="9" spans="2:10" ht="15.6" x14ac:dyDescent="0.3">
      <c r="B9" s="47" t="s">
        <v>7</v>
      </c>
      <c r="C9" s="54">
        <f>'TGF, TBR y TNR'!G23</f>
        <v>2.2594458696194503E-2</v>
      </c>
      <c r="D9" s="57">
        <f>'TGF, TBR y TNR'!G8</f>
        <v>2.6572956050669293E-2</v>
      </c>
      <c r="E9" s="59">
        <f>'TGF, TBR y TNR'!J23</f>
        <v>486346.51</v>
      </c>
      <c r="F9" s="59">
        <f>'TGF, TBR y TNR'!J8</f>
        <v>484955.76</v>
      </c>
      <c r="G9" s="54">
        <f>'TGF, TBR y TNR'!K23</f>
        <v>0.97269302000000002</v>
      </c>
      <c r="H9" s="57">
        <f>'TGF, TBR y TNR'!K8</f>
        <v>0.96991152000000003</v>
      </c>
      <c r="I9" s="61">
        <f>'TGF, TBR y TNR'!L23</f>
        <v>1.0720718177788632E-2</v>
      </c>
      <c r="J9" s="57">
        <f>'TGF, TBR y TNR'!L8</f>
        <v>1.2572398143413587E-2</v>
      </c>
    </row>
    <row r="10" spans="2:10" ht="15.6" x14ac:dyDescent="0.3">
      <c r="B10" s="47" t="s">
        <v>9</v>
      </c>
      <c r="C10" s="54">
        <f>'TGF, TBR y TNR'!G24</f>
        <v>5.6421126331824114E-3</v>
      </c>
      <c r="D10" s="57">
        <f>'TGF, TBR y TNR'!G9</f>
        <v>6.1179548404038959E-3</v>
      </c>
      <c r="E10" s="59">
        <f>'TGF, TBR y TNR'!J24</f>
        <v>482824.8</v>
      </c>
      <c r="F10" s="59">
        <f>'TGF, TBR y TNR'!J9</f>
        <v>482043.42</v>
      </c>
      <c r="G10" s="54">
        <f>'TGF, TBR y TNR'!K24</f>
        <v>0.9656496</v>
      </c>
      <c r="H10" s="57">
        <f>'TGF, TBR y TNR'!K9</f>
        <v>0.96408684</v>
      </c>
      <c r="I10" s="61">
        <f>'TGF, TBR y TNR'!L24</f>
        <v>2.6577091743353863E-3</v>
      </c>
      <c r="J10" s="57">
        <f>'TGF, TBR y TNR'!L9</f>
        <v>2.8771901216330226E-3</v>
      </c>
    </row>
    <row r="11" spans="2:10" ht="16.2" thickBot="1" x14ac:dyDescent="0.35">
      <c r="B11" s="50" t="s">
        <v>10</v>
      </c>
      <c r="C11" s="55">
        <f>'TGF, TBR y TNR'!G25</f>
        <v>4.0555065713504648E-4</v>
      </c>
      <c r="D11" s="58">
        <f>'TGF, TBR y TNR'!G10</f>
        <v>4.7878865310947271E-4</v>
      </c>
      <c r="E11" s="60">
        <f>'TGF, TBR y TNR'!J25</f>
        <v>477346.88</v>
      </c>
      <c r="F11" s="60">
        <f>'TGF, TBR y TNR'!J10</f>
        <v>476930.13</v>
      </c>
      <c r="G11" s="55">
        <f>'TGF, TBR y TNR'!K25</f>
        <v>0.95469376000000006</v>
      </c>
      <c r="H11" s="58">
        <f>'TGF, TBR y TNR'!K10</f>
        <v>0.95386026000000002</v>
      </c>
      <c r="I11" s="62">
        <f>'TGF, TBR y TNR'!L25</f>
        <v>1.8886667401498946E-4</v>
      </c>
      <c r="J11" s="58">
        <f>'TGF, TBR y TNR'!L10</f>
        <v>2.2277925323904948E-4</v>
      </c>
    </row>
    <row r="12" spans="2:10" ht="16.2" thickBot="1" x14ac:dyDescent="0.35">
      <c r="B12" s="49"/>
      <c r="C12" s="49"/>
      <c r="D12" s="49"/>
      <c r="E12" s="49"/>
      <c r="F12" s="49"/>
      <c r="G12" s="49"/>
      <c r="H12" s="63" t="s">
        <v>8</v>
      </c>
      <c r="I12" s="53">
        <f>J12</f>
        <v>0.48780487804878048</v>
      </c>
      <c r="J12" s="56">
        <f>'TGF, TBR y TNR'!I2</f>
        <v>0.48780487804878048</v>
      </c>
    </row>
    <row r="13" spans="2:10" ht="16.2" thickBot="1" x14ac:dyDescent="0.35">
      <c r="B13" s="49"/>
      <c r="C13" s="49"/>
      <c r="D13" s="49"/>
      <c r="E13" s="49"/>
      <c r="F13" s="49"/>
      <c r="G13" s="49"/>
      <c r="H13" s="64" t="s">
        <v>16</v>
      </c>
      <c r="I13" s="65">
        <f>'TGF, TBR y TNR'!L29</f>
        <v>0.62414976553654244</v>
      </c>
      <c r="J13" s="66">
        <f>'TGF, TBR y TNR'!L14</f>
        <v>0.80482061110347303</v>
      </c>
    </row>
  </sheetData>
  <mergeCells count="6">
    <mergeCell ref="B2:J2"/>
    <mergeCell ref="B3:B4"/>
    <mergeCell ref="C3:D3"/>
    <mergeCell ref="E3:F3"/>
    <mergeCell ref="G3:H3"/>
    <mergeCell ref="I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Hidalgo 2010</vt:lpstr>
      <vt:lpstr>Hidalgo 2019</vt:lpstr>
      <vt:lpstr>Nacimientos 2010</vt:lpstr>
      <vt:lpstr>Nacimientos 2019</vt:lpstr>
      <vt:lpstr>TGF, TBR y TNR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user7</dc:creator>
  <cp:keywords/>
  <dc:description/>
  <cp:lastModifiedBy>Samuel Gómez</cp:lastModifiedBy>
  <cp:revision/>
  <dcterms:created xsi:type="dcterms:W3CDTF">2014-10-01T13:57:05Z</dcterms:created>
  <dcterms:modified xsi:type="dcterms:W3CDTF">2026-06-04T04:29:20Z</dcterms:modified>
  <cp:category/>
  <cp:contentStatus/>
</cp:coreProperties>
</file>