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https://d.docs.live.net/a28c873f6364d31b/Documentos/Demografia/"/>
    </mc:Choice>
  </mc:AlternateContent>
  <xr:revisionPtr revIDLastSave="771" documentId="8_{37C54FC6-D055-4DF0-90EC-E56940C0F155}" xr6:coauthVersionLast="47" xr6:coauthVersionMax="47" xr10:uidLastSave="{F5A996F7-7278-4BDC-A31B-DB2309DE30EE}"/>
  <bookViews>
    <workbookView xWindow="-108" yWindow="-108" windowWidth="23256" windowHeight="12456" activeTab="3" xr2:uid="{00000000-000D-0000-FFFF-FFFF00000000}"/>
  </bookViews>
  <sheets>
    <sheet name="Filtrado de Información" sheetId="6" r:id="rId1"/>
    <sheet name="Datos" sheetId="1" r:id="rId2"/>
    <sheet name="Diagrama de Lexis" sheetId="5" r:id="rId3"/>
    <sheet name="TMI" sheetId="4" r:id="rId4"/>
  </sheets>
  <definedNames>
    <definedName name="_xlnm._FilterDatabase" localSheetId="0" hidden="1">'Filtrado de Información'!$A$6:$G$878</definedName>
    <definedName name="_Hlk24994008" localSheetId="1">Datos!$B$43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4" l="1"/>
  <c r="D13" i="4"/>
  <c r="D12" i="4"/>
  <c r="D11" i="4"/>
  <c r="C14" i="4"/>
  <c r="C13" i="4"/>
  <c r="C12" i="4"/>
  <c r="C11" i="4"/>
  <c r="D7" i="4"/>
  <c r="D6" i="4"/>
  <c r="D5" i="4"/>
  <c r="D4" i="4"/>
  <c r="C7" i="4"/>
  <c r="C6" i="4"/>
  <c r="C5" i="4"/>
  <c r="C4" i="4"/>
  <c r="AO25" i="5"/>
  <c r="AO28" i="5"/>
  <c r="AO29" i="5"/>
  <c r="AO20" i="5"/>
  <c r="AO23" i="5"/>
  <c r="AM25" i="5"/>
  <c r="AM28" i="5"/>
  <c r="AM29" i="5"/>
  <c r="AO15" i="5"/>
  <c r="AO18" i="5"/>
  <c r="AM20" i="5"/>
  <c r="AM23" i="5"/>
  <c r="AK25" i="5"/>
  <c r="AK28" i="5"/>
  <c r="AK29" i="5"/>
  <c r="AO10" i="5"/>
  <c r="AO13" i="5"/>
  <c r="AM15" i="5"/>
  <c r="AM18" i="5"/>
  <c r="AK20" i="5"/>
  <c r="AK23" i="5"/>
  <c r="AI25" i="5"/>
  <c r="AI28" i="5"/>
  <c r="AI29" i="5"/>
  <c r="AO5" i="5"/>
  <c r="AO8" i="5"/>
  <c r="AM10" i="5"/>
  <c r="AM13" i="5"/>
  <c r="AK15" i="5"/>
  <c r="AK18" i="5"/>
  <c r="AI20" i="5"/>
  <c r="AI23" i="5"/>
  <c r="AG25" i="5"/>
  <c r="AG28" i="5"/>
  <c r="AG29" i="5"/>
  <c r="AM5" i="5"/>
  <c r="AM8" i="5"/>
  <c r="AK10" i="5"/>
  <c r="AK13" i="5"/>
  <c r="AI15" i="5"/>
  <c r="AI18" i="5"/>
  <c r="AG20" i="5"/>
  <c r="AG23" i="5"/>
  <c r="AE25" i="5"/>
  <c r="AE28" i="5"/>
  <c r="AE29" i="5"/>
  <c r="AK5" i="5"/>
  <c r="AK8" i="5"/>
  <c r="AI10" i="5"/>
  <c r="AI13" i="5"/>
  <c r="AG15" i="5"/>
  <c r="AG18" i="5"/>
  <c r="AE20" i="5"/>
  <c r="AE23" i="5"/>
  <c r="AC25" i="5"/>
  <c r="AC28" i="5"/>
  <c r="AC29" i="5"/>
  <c r="AI5" i="5"/>
  <c r="AI8" i="5"/>
  <c r="AG10" i="5"/>
  <c r="AG13" i="5"/>
  <c r="AE15" i="5"/>
  <c r="AE18" i="5"/>
  <c r="AC20" i="5"/>
  <c r="AC23" i="5"/>
  <c r="AA25" i="5"/>
  <c r="AA28" i="5"/>
  <c r="AA29" i="5"/>
  <c r="T25" i="5"/>
  <c r="T28" i="5"/>
  <c r="T29" i="5"/>
  <c r="T20" i="5"/>
  <c r="T23" i="5"/>
  <c r="R25" i="5"/>
  <c r="R28" i="5"/>
  <c r="T15" i="5"/>
  <c r="T18" i="5"/>
  <c r="R20" i="5"/>
  <c r="R23" i="5"/>
  <c r="P25" i="5"/>
  <c r="P28" i="5"/>
  <c r="T10" i="5"/>
  <c r="T13" i="5"/>
  <c r="R15" i="5"/>
  <c r="R18" i="5"/>
  <c r="P20" i="5"/>
  <c r="P23" i="5"/>
  <c r="N25" i="5"/>
  <c r="N28" i="5"/>
  <c r="T5" i="5"/>
  <c r="T8" i="5"/>
  <c r="R10" i="5"/>
  <c r="R13" i="5"/>
  <c r="P15" i="5"/>
  <c r="P18" i="5"/>
  <c r="N20" i="5"/>
  <c r="N23" i="5"/>
  <c r="L25" i="5"/>
  <c r="L28" i="5"/>
  <c r="R5" i="5"/>
  <c r="R8" i="5"/>
  <c r="P10" i="5"/>
  <c r="P13" i="5"/>
  <c r="N15" i="5"/>
  <c r="N18" i="5"/>
  <c r="L20" i="5"/>
  <c r="L23" i="5"/>
  <c r="J28" i="5"/>
  <c r="J25" i="5"/>
  <c r="P5" i="5"/>
  <c r="P8" i="5"/>
  <c r="N10" i="5"/>
  <c r="N13" i="5"/>
  <c r="L15" i="5"/>
  <c r="L18" i="5"/>
  <c r="J20" i="5"/>
  <c r="J23" i="5"/>
  <c r="H25" i="5"/>
  <c r="H28" i="5"/>
  <c r="N5" i="5"/>
  <c r="N8" i="5"/>
  <c r="L10" i="5"/>
  <c r="L13" i="5"/>
  <c r="J15" i="5"/>
  <c r="J18" i="5"/>
  <c r="H20" i="5"/>
  <c r="H23" i="5"/>
  <c r="R29" i="5" l="1"/>
  <c r="P29" i="5"/>
  <c r="N29" i="5"/>
  <c r="L29" i="5"/>
  <c r="J29" i="5"/>
  <c r="H29" i="5"/>
  <c r="F25" i="5"/>
  <c r="F28" i="5"/>
  <c r="F29" i="5"/>
  <c r="D22" i="1" l="1"/>
  <c r="C22" i="1"/>
  <c r="D21" i="1"/>
  <c r="C21" i="1"/>
  <c r="D20" i="1"/>
  <c r="C20" i="1"/>
  <c r="D19" i="1"/>
  <c r="C19" i="1"/>
  <c r="D18" i="1"/>
  <c r="C18" i="1"/>
  <c r="D17" i="1"/>
  <c r="C17" i="1"/>
  <c r="D16" i="1"/>
  <c r="C16" i="1"/>
  <c r="D15" i="1"/>
  <c r="C15" i="1"/>
  <c r="D14" i="1"/>
  <c r="C14" i="1"/>
  <c r="D13" i="1"/>
  <c r="C13" i="1"/>
  <c r="D12" i="1"/>
  <c r="C12" i="1"/>
  <c r="D11" i="1"/>
  <c r="C11" i="1"/>
  <c r="D10" i="1"/>
  <c r="C10" i="1"/>
  <c r="D9" i="1"/>
  <c r="C9" i="1"/>
  <c r="D8" i="1"/>
  <c r="C8" i="1"/>
  <c r="D7" i="1"/>
  <c r="C7" i="1"/>
  <c r="J31" i="1"/>
  <c r="J32" i="1"/>
  <c r="J33" i="1"/>
  <c r="J34" i="1"/>
  <c r="J35" i="1"/>
  <c r="J36" i="1"/>
  <c r="J37" i="1"/>
  <c r="J38" i="1"/>
  <c r="J39" i="1"/>
  <c r="J30" i="1"/>
  <c r="I31" i="1"/>
  <c r="I32" i="1"/>
  <c r="I33" i="1"/>
  <c r="I34" i="1"/>
  <c r="I35" i="1"/>
  <c r="I36" i="1"/>
  <c r="I37" i="1"/>
  <c r="I38" i="1"/>
  <c r="I39" i="1"/>
  <c r="I30" i="1"/>
  <c r="H31" i="1"/>
  <c r="H32" i="1"/>
  <c r="H33" i="1"/>
  <c r="H34" i="1"/>
  <c r="H35" i="1"/>
  <c r="H36" i="1"/>
  <c r="H37" i="1"/>
  <c r="H38" i="1"/>
  <c r="H39" i="1"/>
  <c r="H30" i="1"/>
  <c r="G31" i="1"/>
  <c r="G32" i="1"/>
  <c r="G33" i="1"/>
  <c r="G34" i="1"/>
  <c r="G35" i="1"/>
  <c r="G36" i="1"/>
  <c r="G37" i="1"/>
  <c r="G38" i="1"/>
  <c r="G39" i="1"/>
  <c r="G30" i="1"/>
  <c r="F31" i="1"/>
  <c r="F32" i="1"/>
  <c r="F33" i="1"/>
  <c r="F34" i="1"/>
  <c r="F35" i="1"/>
  <c r="F36" i="1"/>
  <c r="F37" i="1"/>
  <c r="F38" i="1"/>
  <c r="F39" i="1"/>
  <c r="F30" i="1"/>
  <c r="E31" i="1"/>
  <c r="E32" i="1"/>
  <c r="E33" i="1"/>
  <c r="E34" i="1"/>
  <c r="E35" i="1"/>
  <c r="E36" i="1"/>
  <c r="E37" i="1"/>
  <c r="E38" i="1"/>
  <c r="E39" i="1"/>
  <c r="E30" i="1"/>
  <c r="D31" i="1"/>
  <c r="D32" i="1"/>
  <c r="D33" i="1"/>
  <c r="D34" i="1"/>
  <c r="D35" i="1"/>
  <c r="D36" i="1"/>
  <c r="D37" i="1"/>
  <c r="D38" i="1"/>
  <c r="D39" i="1"/>
  <c r="D30" i="1"/>
  <c r="C31" i="1"/>
  <c r="C32" i="1"/>
  <c r="C33" i="1"/>
  <c r="C34" i="1"/>
  <c r="C35" i="1"/>
  <c r="C36" i="1"/>
  <c r="C37" i="1"/>
  <c r="C38" i="1"/>
  <c r="C39" i="1"/>
  <c r="C30" i="1"/>
  <c r="F8" i="1"/>
  <c r="F9" i="1"/>
  <c r="F10" i="1"/>
  <c r="F11" i="1"/>
  <c r="F12" i="1"/>
  <c r="F13" i="1"/>
  <c r="F14" i="1"/>
  <c r="F15" i="1"/>
  <c r="F16" i="1"/>
  <c r="F17" i="1"/>
  <c r="F18" i="1"/>
  <c r="F19" i="1"/>
  <c r="F20" i="1"/>
  <c r="F21" i="1"/>
  <c r="F22" i="1"/>
  <c r="F7" i="1"/>
  <c r="E9" i="1"/>
  <c r="E10" i="1"/>
  <c r="E11" i="1"/>
  <c r="E12" i="1"/>
  <c r="E13" i="1"/>
  <c r="E14" i="1"/>
  <c r="E15" i="1"/>
  <c r="E16" i="1"/>
  <c r="E17" i="1"/>
  <c r="E18" i="1"/>
  <c r="E19" i="1"/>
  <c r="E20" i="1"/>
  <c r="E21" i="1"/>
  <c r="E22" i="1"/>
  <c r="E8" i="1"/>
  <c r="E7" i="1"/>
  <c r="U25" i="5" l="1"/>
  <c r="AL25" i="5"/>
  <c r="AJ25" i="5"/>
  <c r="AD25" i="5"/>
  <c r="AB25" i="5"/>
  <c r="Q25" i="5"/>
  <c r="R24" i="5" s="1"/>
  <c r="O25" i="5"/>
  <c r="M25" i="5"/>
  <c r="I25" i="5"/>
  <c r="AP25" i="5"/>
  <c r="G25" i="5" l="1"/>
  <c r="H24" i="5" s="1"/>
  <c r="J24" i="5"/>
  <c r="K20" i="5" s="1"/>
  <c r="L19" i="5" s="1"/>
  <c r="M15" i="5" s="1"/>
  <c r="N14" i="5" s="1"/>
  <c r="O10" i="5" s="1"/>
  <c r="P9" i="5" s="1"/>
  <c r="Q5" i="5" s="1"/>
  <c r="R4" i="5" s="1"/>
  <c r="AE24" i="5"/>
  <c r="AF20" i="5" s="1"/>
  <c r="AG19" i="5" s="1"/>
  <c r="AH15" i="5" s="1"/>
  <c r="AI14" i="5" s="1"/>
  <c r="AJ10" i="5" s="1"/>
  <c r="AK9" i="5" s="1"/>
  <c r="AL5" i="5" s="1"/>
  <c r="AM4" i="5" s="1"/>
  <c r="AK24" i="5"/>
  <c r="N24" i="5"/>
  <c r="P24" i="5"/>
  <c r="S20" i="5"/>
  <c r="T19" i="5" s="1"/>
  <c r="U15" i="5" s="1"/>
  <c r="K25" i="5"/>
  <c r="S25" i="5"/>
  <c r="AF25" i="5"/>
  <c r="AN25" i="5"/>
  <c r="AH25" i="5"/>
  <c r="AM24" i="5"/>
  <c r="AC24" i="5"/>
  <c r="AL20" i="5" l="1"/>
  <c r="AM19" i="5" s="1"/>
  <c r="AN15" i="5" s="1"/>
  <c r="AO14" i="5" s="1"/>
  <c r="AP10" i="5" s="1"/>
  <c r="AO24" i="5"/>
  <c r="AG24" i="5"/>
  <c r="T24" i="5"/>
  <c r="U20" i="5" s="1"/>
  <c r="AD20" i="5"/>
  <c r="AE19" i="5" s="1"/>
  <c r="AF15" i="5" s="1"/>
  <c r="AG14" i="5" s="1"/>
  <c r="AH10" i="5" s="1"/>
  <c r="AI9" i="5" s="1"/>
  <c r="AJ5" i="5" s="1"/>
  <c r="AK4" i="5" s="1"/>
  <c r="Q20" i="5"/>
  <c r="R19" i="5" s="1"/>
  <c r="S15" i="5" s="1"/>
  <c r="T14" i="5" s="1"/>
  <c r="U10" i="5" s="1"/>
  <c r="L24" i="5"/>
  <c r="AN20" i="5"/>
  <c r="AO19" i="5" s="1"/>
  <c r="AP15" i="5" s="1"/>
  <c r="I20" i="5"/>
  <c r="J19" i="5" s="1"/>
  <c r="K15" i="5" s="1"/>
  <c r="L14" i="5" s="1"/>
  <c r="M10" i="5" s="1"/>
  <c r="N9" i="5" s="1"/>
  <c r="O5" i="5" s="1"/>
  <c r="P4" i="5" s="1"/>
  <c r="AI24" i="5"/>
  <c r="O20" i="5"/>
  <c r="P19" i="5" s="1"/>
  <c r="Q15" i="5" s="1"/>
  <c r="R14" i="5" s="1"/>
  <c r="S10" i="5" s="1"/>
  <c r="T9" i="5" s="1"/>
  <c r="U5" i="5" s="1"/>
  <c r="AH20" i="5" l="1"/>
  <c r="AI19" i="5" s="1"/>
  <c r="AJ15" i="5" s="1"/>
  <c r="AK14" i="5" s="1"/>
  <c r="AL10" i="5" s="1"/>
  <c r="AM9" i="5" s="1"/>
  <c r="AN5" i="5" s="1"/>
  <c r="AO4" i="5" s="1"/>
  <c r="AP20" i="5"/>
  <c r="M20" i="5"/>
  <c r="N19" i="5" s="1"/>
  <c r="O15" i="5" s="1"/>
  <c r="P14" i="5" s="1"/>
  <c r="Q10" i="5" s="1"/>
  <c r="R9" i="5" s="1"/>
  <c r="S5" i="5" s="1"/>
  <c r="T4" i="5" s="1"/>
  <c r="AJ20" i="5"/>
  <c r="AK19" i="5" s="1"/>
  <c r="AL15" i="5" s="1"/>
  <c r="AM14" i="5" s="1"/>
  <c r="AN10" i="5" s="1"/>
  <c r="AO9" i="5" s="1"/>
  <c r="AP5" i="5" s="1"/>
</calcChain>
</file>

<file path=xl/sharedStrings.xml><?xml version="1.0" encoding="utf-8"?>
<sst xmlns="http://schemas.openxmlformats.org/spreadsheetml/2006/main" count="7119" uniqueCount="1217">
  <si>
    <t>Cuadro  1</t>
  </si>
  <si>
    <t>Año</t>
  </si>
  <si>
    <t>Nacimientos</t>
  </si>
  <si>
    <t>Defunciones de menores de 1 año</t>
  </si>
  <si>
    <t>Hombres</t>
  </si>
  <si>
    <t>Mujeres</t>
  </si>
  <si>
    <t>Cuadro  2</t>
  </si>
  <si>
    <r>
      <t>D</t>
    </r>
    <r>
      <rPr>
        <b/>
        <vertAlign val="subscript"/>
        <sz val="11"/>
        <rFont val="Calibri"/>
        <family val="2"/>
        <scheme val="minor"/>
      </rPr>
      <t>1</t>
    </r>
  </si>
  <si>
    <r>
      <t>D</t>
    </r>
    <r>
      <rPr>
        <b/>
        <vertAlign val="subscript"/>
        <sz val="11"/>
        <rFont val="Calibri"/>
        <family val="2"/>
        <scheme val="minor"/>
      </rPr>
      <t>2</t>
    </r>
  </si>
  <si>
    <r>
      <t>D</t>
    </r>
    <r>
      <rPr>
        <b/>
        <vertAlign val="subscript"/>
        <sz val="11"/>
        <rFont val="Calibri"/>
        <family val="2"/>
        <scheme val="minor"/>
      </rPr>
      <t>3</t>
    </r>
  </si>
  <si>
    <r>
      <t>D</t>
    </r>
    <r>
      <rPr>
        <b/>
        <vertAlign val="subscript"/>
        <sz val="11"/>
        <rFont val="Calibri"/>
        <family val="2"/>
        <scheme val="minor"/>
      </rPr>
      <t>4</t>
    </r>
  </si>
  <si>
    <t>a0</t>
  </si>
  <si>
    <t>Año de nacimiento</t>
  </si>
  <si>
    <t>TMI Cohorte</t>
  </si>
  <si>
    <t>TMI clásica</t>
  </si>
  <si>
    <t>TMI refinada</t>
  </si>
  <si>
    <r>
      <rPr>
        <b/>
        <vertAlign val="subscript"/>
        <sz val="11"/>
        <rFont val="Calibri"/>
        <family val="2"/>
        <scheme val="minor"/>
      </rPr>
      <t>α</t>
    </r>
    <r>
      <rPr>
        <b/>
        <sz val="11"/>
        <rFont val="Calibri"/>
        <family val="2"/>
        <scheme val="minor"/>
      </rPr>
      <t>p</t>
    </r>
    <r>
      <rPr>
        <b/>
        <vertAlign val="subscript"/>
        <sz val="11"/>
        <rFont val="Calibri"/>
        <family val="2"/>
        <scheme val="minor"/>
      </rPr>
      <t>0</t>
    </r>
  </si>
  <si>
    <r>
      <rPr>
        <b/>
        <vertAlign val="subscript"/>
        <sz val="11"/>
        <rFont val="Calibri"/>
        <family val="2"/>
        <scheme val="minor"/>
      </rPr>
      <t>δ</t>
    </r>
    <r>
      <rPr>
        <b/>
        <sz val="11"/>
        <rFont val="Calibri"/>
        <family val="2"/>
        <scheme val="minor"/>
      </rPr>
      <t>p</t>
    </r>
    <r>
      <rPr>
        <b/>
        <vertAlign val="subscript"/>
        <sz val="11"/>
        <rFont val="Calibri"/>
        <family val="2"/>
        <scheme val="minor"/>
      </rPr>
      <t>0</t>
    </r>
  </si>
  <si>
    <r>
      <t>q</t>
    </r>
    <r>
      <rPr>
        <b/>
        <vertAlign val="subscript"/>
        <sz val="11"/>
        <rFont val="Calibri"/>
        <family val="2"/>
        <scheme val="minor"/>
      </rPr>
      <t>0</t>
    </r>
  </si>
  <si>
    <r>
      <t>Promedio de APV de aquellos que murieron antes de cumplir 1 año de edad: a</t>
    </r>
    <r>
      <rPr>
        <b/>
        <vertAlign val="subscript"/>
        <sz val="11"/>
        <color theme="1"/>
        <rFont val="Calibri"/>
        <family val="2"/>
        <scheme val="minor"/>
      </rPr>
      <t>0</t>
    </r>
    <r>
      <rPr>
        <b/>
        <sz val="11"/>
        <color theme="1"/>
        <rFont val="Calibri"/>
        <family val="2"/>
        <scheme val="minor"/>
      </rPr>
      <t xml:space="preserve"> hombres = 0,2 y a</t>
    </r>
    <r>
      <rPr>
        <b/>
        <vertAlign val="subscript"/>
        <sz val="11"/>
        <color theme="1"/>
        <rFont val="Calibri"/>
        <family val="2"/>
        <scheme val="minor"/>
      </rPr>
      <t>0</t>
    </r>
    <r>
      <rPr>
        <b/>
        <sz val="11"/>
        <color theme="1"/>
        <rFont val="Calibri"/>
        <family val="2"/>
        <scheme val="minor"/>
      </rPr>
      <t xml:space="preserve"> mujeres = 0,15</t>
    </r>
  </si>
  <si>
    <r>
      <t>Para las edades 1, 2, 3 y 4 utilizar los factores de Glover: a</t>
    </r>
    <r>
      <rPr>
        <b/>
        <vertAlign val="subscript"/>
        <sz val="11"/>
        <rFont val="Calibri"/>
        <family val="2"/>
        <scheme val="minor"/>
      </rPr>
      <t xml:space="preserve">1 </t>
    </r>
    <r>
      <rPr>
        <b/>
        <sz val="11"/>
        <rFont val="Calibri"/>
        <family val="2"/>
        <scheme val="minor"/>
      </rPr>
      <t>= 0,41, a</t>
    </r>
    <r>
      <rPr>
        <b/>
        <vertAlign val="subscript"/>
        <sz val="11"/>
        <rFont val="Calibri"/>
        <family val="2"/>
        <scheme val="minor"/>
      </rPr>
      <t xml:space="preserve">2 </t>
    </r>
    <r>
      <rPr>
        <b/>
        <sz val="11"/>
        <rFont val="Calibri"/>
        <family val="2"/>
        <scheme val="minor"/>
      </rPr>
      <t>= 0,47, a</t>
    </r>
    <r>
      <rPr>
        <b/>
        <vertAlign val="subscript"/>
        <sz val="11"/>
        <rFont val="Calibri"/>
        <family val="2"/>
        <scheme val="minor"/>
      </rPr>
      <t xml:space="preserve">3 </t>
    </r>
    <r>
      <rPr>
        <b/>
        <sz val="11"/>
        <rFont val="Calibri"/>
        <family val="2"/>
        <scheme val="minor"/>
      </rPr>
      <t>= 0,48 y a</t>
    </r>
    <r>
      <rPr>
        <b/>
        <vertAlign val="subscript"/>
        <sz val="11"/>
        <rFont val="Calibri"/>
        <family val="2"/>
        <scheme val="minor"/>
      </rPr>
      <t xml:space="preserve">4 </t>
    </r>
    <r>
      <rPr>
        <b/>
        <sz val="11"/>
        <rFont val="Calibri"/>
        <family val="2"/>
        <scheme val="minor"/>
      </rPr>
      <t>= 0,48</t>
    </r>
  </si>
  <si>
    <r>
      <t>Llenar con los datos de los de la planilla "datos" utilizando los a</t>
    </r>
    <r>
      <rPr>
        <vertAlign val="subscript"/>
        <sz val="9"/>
        <rFont val="Arial"/>
        <family val="2"/>
      </rPr>
      <t>x</t>
    </r>
    <r>
      <rPr>
        <sz val="9"/>
        <rFont val="Arial"/>
        <family val="2"/>
      </rPr>
      <t>.</t>
    </r>
  </si>
  <si>
    <t>Edad (en años cumplidos)</t>
  </si>
  <si>
    <t>Hidalgo: nacidos vivos y defunciones de menores de 1 año, 2009-2024</t>
  </si>
  <si>
    <t>Hidalgo: defunciones de 1 a 4 años por sexo según edad detallada, 2015-2024</t>
  </si>
  <si>
    <t>Defunciones registradas (mortalidad general)</t>
  </si>
  <si>
    <t>Ent y mun de residencia : Hidalgo</t>
  </si>
  <si>
    <t/>
  </si>
  <si>
    <t>Consulta de: Defunciones registradas   Por: Edad, Año de registro y Año de ocurrencia   Según: Sexo</t>
  </si>
  <si>
    <t>Total</t>
  </si>
  <si>
    <t>Hombre</t>
  </si>
  <si>
    <t>Mujer</t>
  </si>
  <si>
    <t>No especificado</t>
  </si>
  <si>
    <t>1990</t>
  </si>
  <si>
    <t>10,029</t>
  </si>
  <si>
    <t>5,735</t>
  </si>
  <si>
    <t>4,273</t>
  </si>
  <si>
    <t>21</t>
  </si>
  <si>
    <t>1991</t>
  </si>
  <si>
    <t>9,362</t>
  </si>
  <si>
    <t>5,233</t>
  </si>
  <si>
    <t>4,121</t>
  </si>
  <si>
    <t>8</t>
  </si>
  <si>
    <t>1992</t>
  </si>
  <si>
    <t>9,623</t>
  </si>
  <si>
    <t>5,453</t>
  </si>
  <si>
    <t>4,170</t>
  </si>
  <si>
    <t>1993</t>
  </si>
  <si>
    <t>9,559</t>
  </si>
  <si>
    <t>5,353</t>
  </si>
  <si>
    <t>4,200</t>
  </si>
  <si>
    <t>6</t>
  </si>
  <si>
    <t>1994</t>
  </si>
  <si>
    <t>9,583</t>
  </si>
  <si>
    <t>5,416</t>
  </si>
  <si>
    <t>4,165</t>
  </si>
  <si>
    <t>2</t>
  </si>
  <si>
    <t>1995</t>
  </si>
  <si>
    <t>9,907</t>
  </si>
  <si>
    <t>5,631</t>
  </si>
  <si>
    <t>4,272</t>
  </si>
  <si>
    <t>4</t>
  </si>
  <si>
    <t>1996</t>
  </si>
  <si>
    <t>9,943</t>
  </si>
  <si>
    <t>5,565</t>
  </si>
  <si>
    <t>4,378</t>
  </si>
  <si>
    <t>1997</t>
  </si>
  <si>
    <t>9,781</t>
  </si>
  <si>
    <t>5,443</t>
  </si>
  <si>
    <t>4,338</t>
  </si>
  <si>
    <t>1998</t>
  </si>
  <si>
    <t>10,136</t>
  </si>
  <si>
    <t>5,669</t>
  </si>
  <si>
    <t>4,466</t>
  </si>
  <si>
    <t>1</t>
  </si>
  <si>
    <t>1999</t>
  </si>
  <si>
    <t>10,038</t>
  </si>
  <si>
    <t>5,568</t>
  </si>
  <si>
    <t>4,469</t>
  </si>
  <si>
    <t>2000</t>
  </si>
  <si>
    <t>9,113</t>
  </si>
  <si>
    <t>5,083</t>
  </si>
  <si>
    <t>4,028</t>
  </si>
  <si>
    <t>2001</t>
  </si>
  <si>
    <t>9,693</t>
  </si>
  <si>
    <t>5,420</t>
  </si>
  <si>
    <t>4,268</t>
  </si>
  <si>
    <t>5</t>
  </si>
  <si>
    <t>2002</t>
  </si>
  <si>
    <t>10,151</t>
  </si>
  <si>
    <t>5,748</t>
  </si>
  <si>
    <t>4,402</t>
  </si>
  <si>
    <t>2003</t>
  </si>
  <si>
    <t>10,089</t>
  </si>
  <si>
    <t>5,661</t>
  </si>
  <si>
    <t>4,427</t>
  </si>
  <si>
    <t>2004</t>
  </si>
  <si>
    <t>10,561</t>
  </si>
  <si>
    <t>5,888</t>
  </si>
  <si>
    <t>4,671</t>
  </si>
  <si>
    <t>2005</t>
  </si>
  <si>
    <t>10,955</t>
  </si>
  <si>
    <t>6,043</t>
  </si>
  <si>
    <t>4,904</t>
  </si>
  <si>
    <t>2006</t>
  </si>
  <si>
    <t>10,926</t>
  </si>
  <si>
    <t>6,064</t>
  </si>
  <si>
    <t>4,862</t>
  </si>
  <si>
    <t>2007</t>
  </si>
  <si>
    <t>11,628</t>
  </si>
  <si>
    <t>6,351</t>
  </si>
  <si>
    <t>5,277</t>
  </si>
  <si>
    <t>2008</t>
  </si>
  <si>
    <t>12,363</t>
  </si>
  <si>
    <t>6,784</t>
  </si>
  <si>
    <t>5,577</t>
  </si>
  <si>
    <t>2009</t>
  </si>
  <si>
    <t>12,900</t>
  </si>
  <si>
    <t>7,264</t>
  </si>
  <si>
    <t>5,609</t>
  </si>
  <si>
    <t>27</t>
  </si>
  <si>
    <t>2010</t>
  </si>
  <si>
    <t>12,990</t>
  </si>
  <si>
    <t>7,149</t>
  </si>
  <si>
    <t>5,839</t>
  </si>
  <si>
    <t>2011</t>
  </si>
  <si>
    <t>13,150</t>
  </si>
  <si>
    <t>7,233</t>
  </si>
  <si>
    <t>5,909</t>
  </si>
  <si>
    <t>2012</t>
  </si>
  <si>
    <t>13,246</t>
  </si>
  <si>
    <t>7,168</t>
  </si>
  <si>
    <t>6,065</t>
  </si>
  <si>
    <t>13</t>
  </si>
  <si>
    <t>2013</t>
  </si>
  <si>
    <t>13,878</t>
  </si>
  <si>
    <t>7,520</t>
  </si>
  <si>
    <t>6,352</t>
  </si>
  <si>
    <t>2014</t>
  </si>
  <si>
    <t>14,142</t>
  </si>
  <si>
    <t>7,719</t>
  </si>
  <si>
    <t>6,415</t>
  </si>
  <si>
    <t>2015</t>
  </si>
  <si>
    <t>14,595</t>
  </si>
  <si>
    <t>7,861</t>
  </si>
  <si>
    <t>6,727</t>
  </si>
  <si>
    <t>7</t>
  </si>
  <si>
    <t>2016</t>
  </si>
  <si>
    <t>15,391</t>
  </si>
  <si>
    <t>8,475</t>
  </si>
  <si>
    <t>6,910</t>
  </si>
  <si>
    <t>2017</t>
  </si>
  <si>
    <t>15,675</t>
  </si>
  <si>
    <t>8,526</t>
  </si>
  <si>
    <t>7,147</t>
  </si>
  <si>
    <t>2018</t>
  </si>
  <si>
    <t>15,945</t>
  </si>
  <si>
    <t>8,691</t>
  </si>
  <si>
    <t>7,253</t>
  </si>
  <si>
    <t>2019</t>
  </si>
  <si>
    <t>16,414</t>
  </si>
  <si>
    <t>9,137</t>
  </si>
  <si>
    <t>7,275</t>
  </si>
  <si>
    <t>2020</t>
  </si>
  <si>
    <t>22,655</t>
  </si>
  <si>
    <t>13,071</t>
  </si>
  <si>
    <t>2021</t>
  </si>
  <si>
    <t>25,106</t>
  </si>
  <si>
    <t>14,557</t>
  </si>
  <si>
    <t>10,548</t>
  </si>
  <si>
    <t>2022</t>
  </si>
  <si>
    <t>18,575</t>
  </si>
  <si>
    <t>10,217</t>
  </si>
  <si>
    <t>8,355</t>
  </si>
  <si>
    <t>3</t>
  </si>
  <si>
    <t>2023</t>
  </si>
  <si>
    <t>17,631</t>
  </si>
  <si>
    <t>9,646</t>
  </si>
  <si>
    <t>7,984</t>
  </si>
  <si>
    <t>2024</t>
  </si>
  <si>
    <t>18,523</t>
  </si>
  <si>
    <t>10,206</t>
  </si>
  <si>
    <t>8,316</t>
  </si>
  <si>
    <t>Menores de 1 año</t>
  </si>
  <si>
    <t>1,534</t>
  </si>
  <si>
    <t>876</t>
  </si>
  <si>
    <t>644</t>
  </si>
  <si>
    <t>14</t>
  </si>
  <si>
    <t>1,495</t>
  </si>
  <si>
    <t>845</t>
  </si>
  <si>
    <t>645</t>
  </si>
  <si>
    <t>1,462</t>
  </si>
  <si>
    <t>867</t>
  </si>
  <si>
    <t>595</t>
  </si>
  <si>
    <t>1,238</t>
  </si>
  <si>
    <t>707</t>
  </si>
  <si>
    <t>530</t>
  </si>
  <si>
    <t>1,197</t>
  </si>
  <si>
    <t>700</t>
  </si>
  <si>
    <t>496</t>
  </si>
  <si>
    <t>1,204</t>
  </si>
  <si>
    <t>699</t>
  </si>
  <si>
    <t>502</t>
  </si>
  <si>
    <t>1,043</t>
  </si>
  <si>
    <t>571</t>
  </si>
  <si>
    <t>472</t>
  </si>
  <si>
    <t>1,014</t>
  </si>
  <si>
    <t>583</t>
  </si>
  <si>
    <t>431</t>
  </si>
  <si>
    <t>983</t>
  </si>
  <si>
    <t>545</t>
  </si>
  <si>
    <t>438</t>
  </si>
  <si>
    <t>899</t>
  </si>
  <si>
    <t>485</t>
  </si>
  <si>
    <t>414</t>
  </si>
  <si>
    <t>790</t>
  </si>
  <si>
    <t>433</t>
  </si>
  <si>
    <t>357</t>
  </si>
  <si>
    <t>752</t>
  </si>
  <si>
    <t>425</t>
  </si>
  <si>
    <t>323</t>
  </si>
  <si>
    <t>833</t>
  </si>
  <si>
    <t>495</t>
  </si>
  <si>
    <t>337</t>
  </si>
  <si>
    <t>668</t>
  </si>
  <si>
    <t>394</t>
  </si>
  <si>
    <t>274</t>
  </si>
  <si>
    <t>650</t>
  </si>
  <si>
    <t>343</t>
  </si>
  <si>
    <t>306</t>
  </si>
  <si>
    <t>681</t>
  </si>
  <si>
    <t>375</t>
  </si>
  <si>
    <t>300</t>
  </si>
  <si>
    <t>648</t>
  </si>
  <si>
    <t>291</t>
  </si>
  <si>
    <t>698</t>
  </si>
  <si>
    <t>412</t>
  </si>
  <si>
    <t>286</t>
  </si>
  <si>
    <t>272</t>
  </si>
  <si>
    <t>585</t>
  </si>
  <si>
    <t>331</t>
  </si>
  <si>
    <t>251</t>
  </si>
  <si>
    <t>603</t>
  </si>
  <si>
    <t>351</t>
  </si>
  <si>
    <t>632</t>
  </si>
  <si>
    <t>360</t>
  </si>
  <si>
    <t>271</t>
  </si>
  <si>
    <t>652</t>
  </si>
  <si>
    <t>361</t>
  </si>
  <si>
    <t>287</t>
  </si>
  <si>
    <t>614</t>
  </si>
  <si>
    <t>358</t>
  </si>
  <si>
    <t>252</t>
  </si>
  <si>
    <t>590</t>
  </si>
  <si>
    <t>332</t>
  </si>
  <si>
    <t>255</t>
  </si>
  <si>
    <t>591</t>
  </si>
  <si>
    <t>318</t>
  </si>
  <si>
    <t>268</t>
  </si>
  <si>
    <t>524</t>
  </si>
  <si>
    <t>277</t>
  </si>
  <si>
    <t>245</t>
  </si>
  <si>
    <t>510</t>
  </si>
  <si>
    <t>295</t>
  </si>
  <si>
    <t>214</t>
  </si>
  <si>
    <t>479</t>
  </si>
  <si>
    <t>263</t>
  </si>
  <si>
    <t>215</t>
  </si>
  <si>
    <t>473</t>
  </si>
  <si>
    <t>194</t>
  </si>
  <si>
    <t>342</t>
  </si>
  <si>
    <t>189</t>
  </si>
  <si>
    <t>152</t>
  </si>
  <si>
    <t>419</t>
  </si>
  <si>
    <t>226</t>
  </si>
  <si>
    <t>192</t>
  </si>
  <si>
    <t>446</t>
  </si>
  <si>
    <t>248</t>
  </si>
  <si>
    <t>196</t>
  </si>
  <si>
    <t>428</t>
  </si>
  <si>
    <t>246</t>
  </si>
  <si>
    <t>181</t>
  </si>
  <si>
    <t>335</t>
  </si>
  <si>
    <t>190</t>
  </si>
  <si>
    <t>144</t>
  </si>
  <si>
    <t>1-4 años</t>
  </si>
  <si>
    <t>489</t>
  </si>
  <si>
    <t>280</t>
  </si>
  <si>
    <t>207</t>
  </si>
  <si>
    <t>324</t>
  </si>
  <si>
    <t>156</t>
  </si>
  <si>
    <t>168</t>
  </si>
  <si>
    <t>309</t>
  </si>
  <si>
    <t>162</t>
  </si>
  <si>
    <t>147</t>
  </si>
  <si>
    <t>170</t>
  </si>
  <si>
    <t>148</t>
  </si>
  <si>
    <t>264</t>
  </si>
  <si>
    <t>131</t>
  </si>
  <si>
    <t>133</t>
  </si>
  <si>
    <t>242</t>
  </si>
  <si>
    <t>130</t>
  </si>
  <si>
    <t>112</t>
  </si>
  <si>
    <t>222</t>
  </si>
  <si>
    <t>122</t>
  </si>
  <si>
    <t>100</t>
  </si>
  <si>
    <t>202</t>
  </si>
  <si>
    <t>102</t>
  </si>
  <si>
    <t>187</t>
  </si>
  <si>
    <t>94</t>
  </si>
  <si>
    <t>93</t>
  </si>
  <si>
    <t>167</t>
  </si>
  <si>
    <t>96</t>
  </si>
  <si>
    <t>70</t>
  </si>
  <si>
    <t>151</t>
  </si>
  <si>
    <t>72</t>
  </si>
  <si>
    <t>79</t>
  </si>
  <si>
    <t>119</t>
  </si>
  <si>
    <t>61</t>
  </si>
  <si>
    <t>58</t>
  </si>
  <si>
    <t>125</t>
  </si>
  <si>
    <t>68</t>
  </si>
  <si>
    <t>57</t>
  </si>
  <si>
    <t>126</t>
  </si>
  <si>
    <t>75</t>
  </si>
  <si>
    <t>51</t>
  </si>
  <si>
    <t>150</t>
  </si>
  <si>
    <t>86</t>
  </si>
  <si>
    <t>64</t>
  </si>
  <si>
    <t>143</t>
  </si>
  <si>
    <t>74</t>
  </si>
  <si>
    <t>69</t>
  </si>
  <si>
    <t>137</t>
  </si>
  <si>
    <t>73</t>
  </si>
  <si>
    <t>60</t>
  </si>
  <si>
    <t>59</t>
  </si>
  <si>
    <t>65</t>
  </si>
  <si>
    <t>138</t>
  </si>
  <si>
    <t>66</t>
  </si>
  <si>
    <t>127</t>
  </si>
  <si>
    <t>110</t>
  </si>
  <si>
    <t>117</t>
  </si>
  <si>
    <t>53</t>
  </si>
  <si>
    <t>118</t>
  </si>
  <si>
    <t>56</t>
  </si>
  <si>
    <t>44</t>
  </si>
  <si>
    <t>104</t>
  </si>
  <si>
    <t>95</t>
  </si>
  <si>
    <t>54</t>
  </si>
  <si>
    <t>41</t>
  </si>
  <si>
    <t>45</t>
  </si>
  <si>
    <t>50</t>
  </si>
  <si>
    <t>78</t>
  </si>
  <si>
    <t>34</t>
  </si>
  <si>
    <t>90</t>
  </si>
  <si>
    <t>49</t>
  </si>
  <si>
    <t>28</t>
  </si>
  <si>
    <t>97</t>
  </si>
  <si>
    <t>1 año</t>
  </si>
  <si>
    <t>232</t>
  </si>
  <si>
    <t>136</t>
  </si>
  <si>
    <t>154</t>
  </si>
  <si>
    <t>81</t>
  </si>
  <si>
    <t>164</t>
  </si>
  <si>
    <t>88</t>
  </si>
  <si>
    <t>76</t>
  </si>
  <si>
    <t>62</t>
  </si>
  <si>
    <t>99</t>
  </si>
  <si>
    <t>101</t>
  </si>
  <si>
    <t>84</t>
  </si>
  <si>
    <t>46</t>
  </si>
  <si>
    <t>38</t>
  </si>
  <si>
    <t>33</t>
  </si>
  <si>
    <t>29</t>
  </si>
  <si>
    <t>32</t>
  </si>
  <si>
    <t>24</t>
  </si>
  <si>
    <t>25</t>
  </si>
  <si>
    <t>37</t>
  </si>
  <si>
    <t>39</t>
  </si>
  <si>
    <t>30</t>
  </si>
  <si>
    <t>31</t>
  </si>
  <si>
    <t>26</t>
  </si>
  <si>
    <t>22</t>
  </si>
  <si>
    <t>18</t>
  </si>
  <si>
    <t>40</t>
  </si>
  <si>
    <t>20</t>
  </si>
  <si>
    <t>19</t>
  </si>
  <si>
    <t>43</t>
  </si>
  <si>
    <t>15</t>
  </si>
  <si>
    <t>17</t>
  </si>
  <si>
    <t>12</t>
  </si>
  <si>
    <t>36</t>
  </si>
  <si>
    <t>10</t>
  </si>
  <si>
    <t>16</t>
  </si>
  <si>
    <t>2 años</t>
  </si>
  <si>
    <t>124</t>
  </si>
  <si>
    <t>82</t>
  </si>
  <si>
    <t>47</t>
  </si>
  <si>
    <t>52</t>
  </si>
  <si>
    <t>42</t>
  </si>
  <si>
    <t>23</t>
  </si>
  <si>
    <t>11</t>
  </si>
  <si>
    <t>9</t>
  </si>
  <si>
    <t>3 años</t>
  </si>
  <si>
    <t>35</t>
  </si>
  <si>
    <t>4 años</t>
  </si>
  <si>
    <t>5-9 años</t>
  </si>
  <si>
    <t>166</t>
  </si>
  <si>
    <t>63</t>
  </si>
  <si>
    <t>87</t>
  </si>
  <si>
    <t>108</t>
  </si>
  <si>
    <t>55</t>
  </si>
  <si>
    <t>83</t>
  </si>
  <si>
    <t>92</t>
  </si>
  <si>
    <t>77</t>
  </si>
  <si>
    <t>48</t>
  </si>
  <si>
    <t>71</t>
  </si>
  <si>
    <t>67</t>
  </si>
  <si>
    <t>10-14 años</t>
  </si>
  <si>
    <t>158</t>
  </si>
  <si>
    <t>91</t>
  </si>
  <si>
    <t>111</t>
  </si>
  <si>
    <t>109</t>
  </si>
  <si>
    <t>105</t>
  </si>
  <si>
    <t>107</t>
  </si>
  <si>
    <t>89</t>
  </si>
  <si>
    <t>85</t>
  </si>
  <si>
    <t>80</t>
  </si>
  <si>
    <t>15-19 años</t>
  </si>
  <si>
    <t>224</t>
  </si>
  <si>
    <t>153</t>
  </si>
  <si>
    <t>235</t>
  </si>
  <si>
    <t>204</t>
  </si>
  <si>
    <t>134</t>
  </si>
  <si>
    <t>115</t>
  </si>
  <si>
    <t>211</t>
  </si>
  <si>
    <t>172</t>
  </si>
  <si>
    <t>197</t>
  </si>
  <si>
    <t>141</t>
  </si>
  <si>
    <t>184</t>
  </si>
  <si>
    <t>206</t>
  </si>
  <si>
    <t>139</t>
  </si>
  <si>
    <t>193</t>
  </si>
  <si>
    <t>160</t>
  </si>
  <si>
    <t>165</t>
  </si>
  <si>
    <t>179</t>
  </si>
  <si>
    <t>155</t>
  </si>
  <si>
    <t>161</t>
  </si>
  <si>
    <t>195</t>
  </si>
  <si>
    <t>129</t>
  </si>
  <si>
    <t>229</t>
  </si>
  <si>
    <t>157</t>
  </si>
  <si>
    <t>218</t>
  </si>
  <si>
    <t>213</t>
  </si>
  <si>
    <t>180</t>
  </si>
  <si>
    <t>121</t>
  </si>
  <si>
    <t>171</t>
  </si>
  <si>
    <t>113</t>
  </si>
  <si>
    <t>199</t>
  </si>
  <si>
    <t>182</t>
  </si>
  <si>
    <t>200</t>
  </si>
  <si>
    <t>146</t>
  </si>
  <si>
    <t>201</t>
  </si>
  <si>
    <t>178</t>
  </si>
  <si>
    <t>208</t>
  </si>
  <si>
    <t>20-24 años</t>
  </si>
  <si>
    <t>216</t>
  </si>
  <si>
    <t>149</t>
  </si>
  <si>
    <t>247</t>
  </si>
  <si>
    <t>219</t>
  </si>
  <si>
    <t>220</t>
  </si>
  <si>
    <t>169</t>
  </si>
  <si>
    <t>176</t>
  </si>
  <si>
    <t>123</t>
  </si>
  <si>
    <t>128</t>
  </si>
  <si>
    <t>198</t>
  </si>
  <si>
    <t>183</t>
  </si>
  <si>
    <t>132</t>
  </si>
  <si>
    <t>265</t>
  </si>
  <si>
    <t>188</t>
  </si>
  <si>
    <t>241</t>
  </si>
  <si>
    <t>209</t>
  </si>
  <si>
    <t>240</t>
  </si>
  <si>
    <t>236</t>
  </si>
  <si>
    <t>294</t>
  </si>
  <si>
    <t>228</t>
  </si>
  <si>
    <t>285</t>
  </si>
  <si>
    <t>289</t>
  </si>
  <si>
    <t>205</t>
  </si>
  <si>
    <t>191</t>
  </si>
  <si>
    <t>261</t>
  </si>
  <si>
    <t>25-29 años</t>
  </si>
  <si>
    <t>223</t>
  </si>
  <si>
    <t>254</t>
  </si>
  <si>
    <t>175</t>
  </si>
  <si>
    <t>234</t>
  </si>
  <si>
    <t>237</t>
  </si>
  <si>
    <t>253</t>
  </si>
  <si>
    <t>217</t>
  </si>
  <si>
    <t>159</t>
  </si>
  <si>
    <t>244</t>
  </si>
  <si>
    <t>145</t>
  </si>
  <si>
    <t>243</t>
  </si>
  <si>
    <t>174</t>
  </si>
  <si>
    <t>314</t>
  </si>
  <si>
    <t>304</t>
  </si>
  <si>
    <t>355</t>
  </si>
  <si>
    <t>283</t>
  </si>
  <si>
    <t>378</t>
  </si>
  <si>
    <t>451</t>
  </si>
  <si>
    <t>315</t>
  </si>
  <si>
    <t>302</t>
  </si>
  <si>
    <t>221</t>
  </si>
  <si>
    <t>301</t>
  </si>
  <si>
    <t>30-34 años</t>
  </si>
  <si>
    <t>279</t>
  </si>
  <si>
    <t>266</t>
  </si>
  <si>
    <t>98</t>
  </si>
  <si>
    <t>270</t>
  </si>
  <si>
    <t>249</t>
  </si>
  <si>
    <t>225</t>
  </si>
  <si>
    <t>212</t>
  </si>
  <si>
    <t>173</t>
  </si>
  <si>
    <t>185</t>
  </si>
  <si>
    <t>282</t>
  </si>
  <si>
    <t>269</t>
  </si>
  <si>
    <t>256</t>
  </si>
  <si>
    <t>288</t>
  </si>
  <si>
    <t>319</t>
  </si>
  <si>
    <t>239</t>
  </si>
  <si>
    <t>293</t>
  </si>
  <si>
    <t>364</t>
  </si>
  <si>
    <t>258</t>
  </si>
  <si>
    <t>106</t>
  </si>
  <si>
    <t>539</t>
  </si>
  <si>
    <t>398</t>
  </si>
  <si>
    <t>391</t>
  </si>
  <si>
    <t>403</t>
  </si>
  <si>
    <t>399</t>
  </si>
  <si>
    <t>35-39 años</t>
  </si>
  <si>
    <t>339</t>
  </si>
  <si>
    <t>114</t>
  </si>
  <si>
    <t>310</t>
  </si>
  <si>
    <t>368</t>
  </si>
  <si>
    <t>350</t>
  </si>
  <si>
    <t>116</t>
  </si>
  <si>
    <t>346</t>
  </si>
  <si>
    <t>340</t>
  </si>
  <si>
    <t>329</t>
  </si>
  <si>
    <t>320</t>
  </si>
  <si>
    <t>257</t>
  </si>
  <si>
    <t>278</t>
  </si>
  <si>
    <t>276</t>
  </si>
  <si>
    <t>103</t>
  </si>
  <si>
    <t>290</t>
  </si>
  <si>
    <t>363</t>
  </si>
  <si>
    <t>341</t>
  </si>
  <si>
    <t>303</t>
  </si>
  <si>
    <t>345</t>
  </si>
  <si>
    <t>231</t>
  </si>
  <si>
    <t>210</t>
  </si>
  <si>
    <t>354</t>
  </si>
  <si>
    <t>233</t>
  </si>
  <si>
    <t>453</t>
  </si>
  <si>
    <t>135</t>
  </si>
  <si>
    <t>705</t>
  </si>
  <si>
    <t>478</t>
  </si>
  <si>
    <t>227</t>
  </si>
  <si>
    <t>436</t>
  </si>
  <si>
    <t>40-44 años</t>
  </si>
  <si>
    <t>316</t>
  </si>
  <si>
    <t>372</t>
  </si>
  <si>
    <t>347</t>
  </si>
  <si>
    <t>374</t>
  </si>
  <si>
    <t>120</t>
  </si>
  <si>
    <t>397</t>
  </si>
  <si>
    <t>385</t>
  </si>
  <si>
    <t>344</t>
  </si>
  <si>
    <t>370</t>
  </si>
  <si>
    <t>238</t>
  </si>
  <si>
    <t>377</t>
  </si>
  <si>
    <t>400</t>
  </si>
  <si>
    <t>470</t>
  </si>
  <si>
    <t>449</t>
  </si>
  <si>
    <t>177</t>
  </si>
  <si>
    <t>444</t>
  </si>
  <si>
    <t>481</t>
  </si>
  <si>
    <t>507</t>
  </si>
  <si>
    <t>334</t>
  </si>
  <si>
    <t>802</t>
  </si>
  <si>
    <t>532</t>
  </si>
  <si>
    <t>921</t>
  </si>
  <si>
    <t>617</t>
  </si>
  <si>
    <t>517</t>
  </si>
  <si>
    <t>521</t>
  </si>
  <si>
    <t>326</t>
  </si>
  <si>
    <t>45-49 años</t>
  </si>
  <si>
    <t>424</t>
  </si>
  <si>
    <t>297</t>
  </si>
  <si>
    <t>423</t>
  </si>
  <si>
    <t>393</t>
  </si>
  <si>
    <t>260</t>
  </si>
  <si>
    <t>466</t>
  </si>
  <si>
    <t>435</t>
  </si>
  <si>
    <t>461</t>
  </si>
  <si>
    <t>421</t>
  </si>
  <si>
    <t>426</t>
  </si>
  <si>
    <t>299</t>
  </si>
  <si>
    <t>439</t>
  </si>
  <si>
    <t>163</t>
  </si>
  <si>
    <t>447</t>
  </si>
  <si>
    <t>474</t>
  </si>
  <si>
    <t>305</t>
  </si>
  <si>
    <t>503</t>
  </si>
  <si>
    <t>313</t>
  </si>
  <si>
    <t>499</t>
  </si>
  <si>
    <t>284</t>
  </si>
  <si>
    <t>492</t>
  </si>
  <si>
    <t>186</t>
  </si>
  <si>
    <t>493</t>
  </si>
  <si>
    <t>371</t>
  </si>
  <si>
    <t>515</t>
  </si>
  <si>
    <t>535</t>
  </si>
  <si>
    <t>328</t>
  </si>
  <si>
    <t>531</t>
  </si>
  <si>
    <t>551</t>
  </si>
  <si>
    <t>577</t>
  </si>
  <si>
    <t>634</t>
  </si>
  <si>
    <t>602</t>
  </si>
  <si>
    <t>379</t>
  </si>
  <si>
    <t>692</t>
  </si>
  <si>
    <t>410</t>
  </si>
  <si>
    <t>1,079</t>
  </si>
  <si>
    <t>688</t>
  </si>
  <si>
    <t>1,273</t>
  </si>
  <si>
    <t>841</t>
  </si>
  <si>
    <t>432</t>
  </si>
  <si>
    <t>742</t>
  </si>
  <si>
    <t>298</t>
  </si>
  <si>
    <t>748</t>
  </si>
  <si>
    <t>685</t>
  </si>
  <si>
    <t>448</t>
  </si>
  <si>
    <t>50-54 años</t>
  </si>
  <si>
    <t>488</t>
  </si>
  <si>
    <t>330</t>
  </si>
  <si>
    <t>508</t>
  </si>
  <si>
    <t>459</t>
  </si>
  <si>
    <t>555</t>
  </si>
  <si>
    <t>537</t>
  </si>
  <si>
    <t>308</t>
  </si>
  <si>
    <t>509</t>
  </si>
  <si>
    <t>567</t>
  </si>
  <si>
    <t>569</t>
  </si>
  <si>
    <t>365</t>
  </si>
  <si>
    <t>607</t>
  </si>
  <si>
    <t>627</t>
  </si>
  <si>
    <t>259</t>
  </si>
  <si>
    <t>596</t>
  </si>
  <si>
    <t>376</t>
  </si>
  <si>
    <t>680</t>
  </si>
  <si>
    <t>430</t>
  </si>
  <si>
    <t>250</t>
  </si>
  <si>
    <t>422</t>
  </si>
  <si>
    <t>654</t>
  </si>
  <si>
    <t>409</t>
  </si>
  <si>
    <t>723</t>
  </si>
  <si>
    <t>702</t>
  </si>
  <si>
    <t>404</t>
  </si>
  <si>
    <t>721</t>
  </si>
  <si>
    <t>445</t>
  </si>
  <si>
    <t>738</t>
  </si>
  <si>
    <t>816</t>
  </si>
  <si>
    <t>483</t>
  </si>
  <si>
    <t>333</t>
  </si>
  <si>
    <t>861</t>
  </si>
  <si>
    <t>540</t>
  </si>
  <si>
    <t>321</t>
  </si>
  <si>
    <t>785</t>
  </si>
  <si>
    <t>854</t>
  </si>
  <si>
    <t>1,360</t>
  </si>
  <si>
    <t>877</t>
  </si>
  <si>
    <t>1,564</t>
  </si>
  <si>
    <t>1,005</t>
  </si>
  <si>
    <t>559</t>
  </si>
  <si>
    <t>927</t>
  </si>
  <si>
    <t>543</t>
  </si>
  <si>
    <t>384</t>
  </si>
  <si>
    <t>880</t>
  </si>
  <si>
    <t>534</t>
  </si>
  <si>
    <t>897</t>
  </si>
  <si>
    <t>55-59 años</t>
  </si>
  <si>
    <t>512</t>
  </si>
  <si>
    <t>317</t>
  </si>
  <si>
    <t>514</t>
  </si>
  <si>
    <t>563</t>
  </si>
  <si>
    <t>561</t>
  </si>
  <si>
    <t>588</t>
  </si>
  <si>
    <t>624</t>
  </si>
  <si>
    <t>389</t>
  </si>
  <si>
    <t>640</t>
  </si>
  <si>
    <t>380</t>
  </si>
  <si>
    <t>408</t>
  </si>
  <si>
    <t>631</t>
  </si>
  <si>
    <t>684</t>
  </si>
  <si>
    <t>405</t>
  </si>
  <si>
    <t>669</t>
  </si>
  <si>
    <t>717</t>
  </si>
  <si>
    <t>778</t>
  </si>
  <si>
    <t>793</t>
  </si>
  <si>
    <t>477</t>
  </si>
  <si>
    <t>843</t>
  </si>
  <si>
    <t>500</t>
  </si>
  <si>
    <t>804</t>
  </si>
  <si>
    <t>810</t>
  </si>
  <si>
    <t>476</t>
  </si>
  <si>
    <t>848</t>
  </si>
  <si>
    <t>454</t>
  </si>
  <si>
    <t>891</t>
  </si>
  <si>
    <t>522</t>
  </si>
  <si>
    <t>369</t>
  </si>
  <si>
    <t>601</t>
  </si>
  <si>
    <t>916</t>
  </si>
  <si>
    <t>1,038</t>
  </si>
  <si>
    <t>639</t>
  </si>
  <si>
    <t>1,046</t>
  </si>
  <si>
    <t>619</t>
  </si>
  <si>
    <t>427</t>
  </si>
  <si>
    <t>1,034</t>
  </si>
  <si>
    <t>613</t>
  </si>
  <si>
    <t>1,039</t>
  </si>
  <si>
    <t>616</t>
  </si>
  <si>
    <t>1,714</t>
  </si>
  <si>
    <t>1,086</t>
  </si>
  <si>
    <t>628</t>
  </si>
  <si>
    <t>1,905</t>
  </si>
  <si>
    <t>1,148</t>
  </si>
  <si>
    <t>757</t>
  </si>
  <si>
    <t>1,205</t>
  </si>
  <si>
    <t>710</t>
  </si>
  <si>
    <t>1,111</t>
  </si>
  <si>
    <t>638</t>
  </si>
  <si>
    <t>1,200</t>
  </si>
  <si>
    <t>501</t>
  </si>
  <si>
    <t>60-64 años</t>
  </si>
  <si>
    <t>584</t>
  </si>
  <si>
    <t>623</t>
  </si>
  <si>
    <t>637</t>
  </si>
  <si>
    <t>664</t>
  </si>
  <si>
    <t>383</t>
  </si>
  <si>
    <t>281</t>
  </si>
  <si>
    <t>388</t>
  </si>
  <si>
    <t>610</t>
  </si>
  <si>
    <t>230</t>
  </si>
  <si>
    <t>735</t>
  </si>
  <si>
    <t>761</t>
  </si>
  <si>
    <t>808</t>
  </si>
  <si>
    <t>817</t>
  </si>
  <si>
    <t>751</t>
  </si>
  <si>
    <t>869</t>
  </si>
  <si>
    <t>941</t>
  </si>
  <si>
    <t>526</t>
  </si>
  <si>
    <t>415</t>
  </si>
  <si>
    <t>959</t>
  </si>
  <si>
    <t>497</t>
  </si>
  <si>
    <t>874</t>
  </si>
  <si>
    <t>348</t>
  </si>
  <si>
    <t>988</t>
  </si>
  <si>
    <t>560</t>
  </si>
  <si>
    <t>1,045</t>
  </si>
  <si>
    <t>580</t>
  </si>
  <si>
    <t>465</t>
  </si>
  <si>
    <t>995</t>
  </si>
  <si>
    <t>568</t>
  </si>
  <si>
    <t>1,058</t>
  </si>
  <si>
    <t>1,229</t>
  </si>
  <si>
    <t>747</t>
  </si>
  <si>
    <t>482</t>
  </si>
  <si>
    <t>1,207</t>
  </si>
  <si>
    <t>666</t>
  </si>
  <si>
    <t>541</t>
  </si>
  <si>
    <t>1,258</t>
  </si>
  <si>
    <t>520</t>
  </si>
  <si>
    <t>1,268</t>
  </si>
  <si>
    <t>753</t>
  </si>
  <si>
    <t>2,082</t>
  </si>
  <si>
    <t>1,291</t>
  </si>
  <si>
    <t>791</t>
  </si>
  <si>
    <t>2,366</t>
  </si>
  <si>
    <t>1,390</t>
  </si>
  <si>
    <t>976</t>
  </si>
  <si>
    <t>1,402</t>
  </si>
  <si>
    <t>815</t>
  </si>
  <si>
    <t>587</t>
  </si>
  <si>
    <t>1,325</t>
  </si>
  <si>
    <t>725</t>
  </si>
  <si>
    <t>600</t>
  </si>
  <si>
    <t>1,461</t>
  </si>
  <si>
    <t>884</t>
  </si>
  <si>
    <t>65-69 años</t>
  </si>
  <si>
    <t>598</t>
  </si>
  <si>
    <t>352</t>
  </si>
  <si>
    <t>643</t>
  </si>
  <si>
    <t>691</t>
  </si>
  <si>
    <t>411</t>
  </si>
  <si>
    <t>799</t>
  </si>
  <si>
    <t>746</t>
  </si>
  <si>
    <t>794</t>
  </si>
  <si>
    <t>770</t>
  </si>
  <si>
    <t>835</t>
  </si>
  <si>
    <t>844</t>
  </si>
  <si>
    <t>359</t>
  </si>
  <si>
    <t>498</t>
  </si>
  <si>
    <t>834</t>
  </si>
  <si>
    <t>373</t>
  </si>
  <si>
    <t>955</t>
  </si>
  <si>
    <t>562</t>
  </si>
  <si>
    <t>968</t>
  </si>
  <si>
    <t>549</t>
  </si>
  <si>
    <t>1,010</t>
  </si>
  <si>
    <t>536</t>
  </si>
  <si>
    <t>1,029</t>
  </si>
  <si>
    <t>1,078</t>
  </si>
  <si>
    <t>1,113</t>
  </si>
  <si>
    <t>655</t>
  </si>
  <si>
    <t>458</t>
  </si>
  <si>
    <t>1,145</t>
  </si>
  <si>
    <t>641</t>
  </si>
  <si>
    <t>504</t>
  </si>
  <si>
    <t>1,147</t>
  </si>
  <si>
    <t>629</t>
  </si>
  <si>
    <t>518</t>
  </si>
  <si>
    <t>1,160</t>
  </si>
  <si>
    <t>1,278</t>
  </si>
  <si>
    <t>722</t>
  </si>
  <si>
    <t>556</t>
  </si>
  <si>
    <t>1,343</t>
  </si>
  <si>
    <t>724</t>
  </si>
  <si>
    <t>1,337</t>
  </si>
  <si>
    <t>756</t>
  </si>
  <si>
    <t>581</t>
  </si>
  <si>
    <t>1,411</t>
  </si>
  <si>
    <t>775</t>
  </si>
  <si>
    <t>636</t>
  </si>
  <si>
    <t>2,191</t>
  </si>
  <si>
    <t>1,294</t>
  </si>
  <si>
    <t>2,474</t>
  </si>
  <si>
    <t>1,465</t>
  </si>
  <si>
    <t>1,009</t>
  </si>
  <si>
    <t>1,642</t>
  </si>
  <si>
    <t>934</t>
  </si>
  <si>
    <t>708</t>
  </si>
  <si>
    <t>1,589</t>
  </si>
  <si>
    <t>870</t>
  </si>
  <si>
    <t>719</t>
  </si>
  <si>
    <t>1,709</t>
  </si>
  <si>
    <t>963</t>
  </si>
  <si>
    <t>70-74 años</t>
  </si>
  <si>
    <t>296</t>
  </si>
  <si>
    <t>615</t>
  </si>
  <si>
    <t>720</t>
  </si>
  <si>
    <t>396</t>
  </si>
  <si>
    <t>395</t>
  </si>
  <si>
    <t>327</t>
  </si>
  <si>
    <t>809</t>
  </si>
  <si>
    <t>762</t>
  </si>
  <si>
    <t>440</t>
  </si>
  <si>
    <t>322</t>
  </si>
  <si>
    <t>760</t>
  </si>
  <si>
    <t>417</t>
  </si>
  <si>
    <t>822</t>
  </si>
  <si>
    <t>792</t>
  </si>
  <si>
    <t>893</t>
  </si>
  <si>
    <t>401</t>
  </si>
  <si>
    <t>972</t>
  </si>
  <si>
    <t>516</t>
  </si>
  <si>
    <t>456</t>
  </si>
  <si>
    <t>1,016</t>
  </si>
  <si>
    <t>574</t>
  </si>
  <si>
    <t>442</t>
  </si>
  <si>
    <t>593</t>
  </si>
  <si>
    <t>975</t>
  </si>
  <si>
    <t>1,075</t>
  </si>
  <si>
    <t>494</t>
  </si>
  <si>
    <t>1,174</t>
  </si>
  <si>
    <t>649</t>
  </si>
  <si>
    <t>525</t>
  </si>
  <si>
    <t>620</t>
  </si>
  <si>
    <t>1,216</t>
  </si>
  <si>
    <t>564</t>
  </si>
  <si>
    <t>1,169</t>
  </si>
  <si>
    <t>651</t>
  </si>
  <si>
    <t>1,217</t>
  </si>
  <si>
    <t>1,166</t>
  </si>
  <si>
    <t>618</t>
  </si>
  <si>
    <t>548</t>
  </si>
  <si>
    <t>1,315</t>
  </si>
  <si>
    <t>712</t>
  </si>
  <si>
    <t>1,399</t>
  </si>
  <si>
    <t>764</t>
  </si>
  <si>
    <t>635</t>
  </si>
  <si>
    <t>1,418</t>
  </si>
  <si>
    <t>780</t>
  </si>
  <si>
    <t>1,502</t>
  </si>
  <si>
    <t>823</t>
  </si>
  <si>
    <t>679</t>
  </si>
  <si>
    <t>1,509</t>
  </si>
  <si>
    <t>687</t>
  </si>
  <si>
    <t>1,499</t>
  </si>
  <si>
    <t>858</t>
  </si>
  <si>
    <t>2,384</t>
  </si>
  <si>
    <t>966</t>
  </si>
  <si>
    <t>2,547</t>
  </si>
  <si>
    <t>1,494</t>
  </si>
  <si>
    <t>1,053</t>
  </si>
  <si>
    <t>1,796</t>
  </si>
  <si>
    <t>787</t>
  </si>
  <si>
    <t>1,773</t>
  </si>
  <si>
    <t>993</t>
  </si>
  <si>
    <t>1,865</t>
  </si>
  <si>
    <t>1,050</t>
  </si>
  <si>
    <t>75-79 años</t>
  </si>
  <si>
    <t>311</t>
  </si>
  <si>
    <t>671</t>
  </si>
  <si>
    <t>353</t>
  </si>
  <si>
    <t>450</t>
  </si>
  <si>
    <t>820</t>
  </si>
  <si>
    <t>900</t>
  </si>
  <si>
    <t>464</t>
  </si>
  <si>
    <t>962</t>
  </si>
  <si>
    <t>452</t>
  </si>
  <si>
    <t>800</t>
  </si>
  <si>
    <t>418</t>
  </si>
  <si>
    <t>382</t>
  </si>
  <si>
    <t>866</t>
  </si>
  <si>
    <t>982</t>
  </si>
  <si>
    <t>462</t>
  </si>
  <si>
    <t>847</t>
  </si>
  <si>
    <t>954</t>
  </si>
  <si>
    <t>1,106</t>
  </si>
  <si>
    <t>1,097</t>
  </si>
  <si>
    <t>1,173</t>
  </si>
  <si>
    <t>604</t>
  </si>
  <si>
    <t>1,287</t>
  </si>
  <si>
    <t>695</t>
  </si>
  <si>
    <t>592</t>
  </si>
  <si>
    <t>1,239</t>
  </si>
  <si>
    <t>1,386</t>
  </si>
  <si>
    <t>750</t>
  </si>
  <si>
    <t>1,353</t>
  </si>
  <si>
    <t>676</t>
  </si>
  <si>
    <t>677</t>
  </si>
  <si>
    <t>1,423</t>
  </si>
  <si>
    <t>772</t>
  </si>
  <si>
    <t>1,475</t>
  </si>
  <si>
    <t>777</t>
  </si>
  <si>
    <t>1,476</t>
  </si>
  <si>
    <t>784</t>
  </si>
  <si>
    <t>1,590</t>
  </si>
  <si>
    <t>859</t>
  </si>
  <si>
    <t>731</t>
  </si>
  <si>
    <t>1,633</t>
  </si>
  <si>
    <t>879</t>
  </si>
  <si>
    <t>754</t>
  </si>
  <si>
    <t>1,667</t>
  </si>
  <si>
    <t>889</t>
  </si>
  <si>
    <t>1,609</t>
  </si>
  <si>
    <t>1,657</t>
  </si>
  <si>
    <t>2,314</t>
  </si>
  <si>
    <t>1,036</t>
  </si>
  <si>
    <t>2,551</t>
  </si>
  <si>
    <t>1,435</t>
  </si>
  <si>
    <t>1,116</t>
  </si>
  <si>
    <t>1,988</t>
  </si>
  <si>
    <t>1,067</t>
  </si>
  <si>
    <t>1,900</t>
  </si>
  <si>
    <t>1,021</t>
  </si>
  <si>
    <t>1,953</t>
  </si>
  <si>
    <t>1,077</t>
  </si>
  <si>
    <t>80-84 años</t>
  </si>
  <si>
    <t>696</t>
  </si>
  <si>
    <t>734</t>
  </si>
  <si>
    <t>349</t>
  </si>
  <si>
    <t>703</t>
  </si>
  <si>
    <t>362</t>
  </si>
  <si>
    <t>366</t>
  </si>
  <si>
    <t>402</t>
  </si>
  <si>
    <t>434</t>
  </si>
  <si>
    <t>881</t>
  </si>
  <si>
    <t>936</t>
  </si>
  <si>
    <t>460</t>
  </si>
  <si>
    <t>1,024</t>
  </si>
  <si>
    <t>1,100</t>
  </si>
  <si>
    <t>554</t>
  </si>
  <si>
    <t>546</t>
  </si>
  <si>
    <t>1,031</t>
  </si>
  <si>
    <t>1,142</t>
  </si>
  <si>
    <t>566</t>
  </si>
  <si>
    <t>576</t>
  </si>
  <si>
    <t>1,221</t>
  </si>
  <si>
    <t>1,241</t>
  </si>
  <si>
    <t>656</t>
  </si>
  <si>
    <t>1,355</t>
  </si>
  <si>
    <t>1,365</t>
  </si>
  <si>
    <t>642</t>
  </si>
  <si>
    <t>1,425</t>
  </si>
  <si>
    <t>1,578</t>
  </si>
  <si>
    <t>796</t>
  </si>
  <si>
    <t>782</t>
  </si>
  <si>
    <t>789</t>
  </si>
  <si>
    <t>1,679</t>
  </si>
  <si>
    <t>821</t>
  </si>
  <si>
    <t>1,672</t>
  </si>
  <si>
    <t>1,658</t>
  </si>
  <si>
    <t>801</t>
  </si>
  <si>
    <t>857</t>
  </si>
  <si>
    <t>1,737</t>
  </si>
  <si>
    <t>864</t>
  </si>
  <si>
    <t>873</t>
  </si>
  <si>
    <t>1,825</t>
  </si>
  <si>
    <t>883</t>
  </si>
  <si>
    <t>942</t>
  </si>
  <si>
    <t>2,334</t>
  </si>
  <si>
    <t>1,210</t>
  </si>
  <si>
    <t>1,124</t>
  </si>
  <si>
    <t>2,460</t>
  </si>
  <si>
    <t>1,326</t>
  </si>
  <si>
    <t>1,134</t>
  </si>
  <si>
    <t>2,071</t>
  </si>
  <si>
    <t>1,055</t>
  </si>
  <si>
    <t>1,946</t>
  </si>
  <si>
    <t>973</t>
  </si>
  <si>
    <t>2,101</t>
  </si>
  <si>
    <t>85 años y más</t>
  </si>
  <si>
    <t>1,256</t>
  </si>
  <si>
    <t>486</t>
  </si>
  <si>
    <t>1,187</t>
  </si>
  <si>
    <t>1,275</t>
  </si>
  <si>
    <t>768</t>
  </si>
  <si>
    <t>1,261</t>
  </si>
  <si>
    <t>1,332</t>
  </si>
  <si>
    <t>1,429</t>
  </si>
  <si>
    <t>1,632</t>
  </si>
  <si>
    <t>659</t>
  </si>
  <si>
    <t>1,563</t>
  </si>
  <si>
    <t>626</t>
  </si>
  <si>
    <t>937</t>
  </si>
  <si>
    <t>1,540</t>
  </si>
  <si>
    <t>606</t>
  </si>
  <si>
    <t>933</t>
  </si>
  <si>
    <t>1,594</t>
  </si>
  <si>
    <t>1,463</t>
  </si>
  <si>
    <t>1,543</t>
  </si>
  <si>
    <t>915</t>
  </si>
  <si>
    <t>1,586</t>
  </si>
  <si>
    <t>1,628</t>
  </si>
  <si>
    <t>665</t>
  </si>
  <si>
    <t>1,703</t>
  </si>
  <si>
    <t>1,830</t>
  </si>
  <si>
    <t>765</t>
  </si>
  <si>
    <t>1,065</t>
  </si>
  <si>
    <t>1,999</t>
  </si>
  <si>
    <t>1,158</t>
  </si>
  <si>
    <t>2,178</t>
  </si>
  <si>
    <t>905</t>
  </si>
  <si>
    <t>2,164</t>
  </si>
  <si>
    <t>969</t>
  </si>
  <si>
    <t>1,195</t>
  </si>
  <si>
    <t>2,496</t>
  </si>
  <si>
    <t>1,071</t>
  </si>
  <si>
    <t>2,548</t>
  </si>
  <si>
    <t>1,112</t>
  </si>
  <si>
    <t>1,436</t>
  </si>
  <si>
    <t>2,550</t>
  </si>
  <si>
    <t>1,098</t>
  </si>
  <si>
    <t>1,452</t>
  </si>
  <si>
    <t>2,795</t>
  </si>
  <si>
    <t>1,203</t>
  </si>
  <si>
    <t>1,592</t>
  </si>
  <si>
    <t>2,766</t>
  </si>
  <si>
    <t>1,549</t>
  </si>
  <si>
    <t>2,982</t>
  </si>
  <si>
    <t>1,245</t>
  </si>
  <si>
    <t>3,105</t>
  </si>
  <si>
    <t>1,320</t>
  </si>
  <si>
    <t>1,785</t>
  </si>
  <si>
    <t>3,162</t>
  </si>
  <si>
    <t>1,370</t>
  </si>
  <si>
    <t>1,791</t>
  </si>
  <si>
    <t>3,448</t>
  </si>
  <si>
    <t>1,530</t>
  </si>
  <si>
    <t>1,918</t>
  </si>
  <si>
    <t>3,255</t>
  </si>
  <si>
    <t>1,446</t>
  </si>
  <si>
    <t>1,809</t>
  </si>
  <si>
    <t>4,060</t>
  </si>
  <si>
    <t>1,826</t>
  </si>
  <si>
    <t>2,234</t>
  </si>
  <si>
    <t>4,262</t>
  </si>
  <si>
    <t>1,991</t>
  </si>
  <si>
    <t>2,271</t>
  </si>
  <si>
    <t>4,025</t>
  </si>
  <si>
    <t>1,784</t>
  </si>
  <si>
    <t>2,241</t>
  </si>
  <si>
    <t>3,647</t>
  </si>
  <si>
    <t>1,575</t>
  </si>
  <si>
    <t>2,072</t>
  </si>
  <si>
    <t>4,037</t>
  </si>
  <si>
    <t>1,712</t>
  </si>
  <si>
    <t>2,325</t>
  </si>
  <si>
    <t>Fuente: Fuente: INEGI. Estadísticas de Defunciones Registradas (EDR). Hidalgo</t>
  </si>
  <si>
    <t>Nacimientos registrados</t>
  </si>
  <si>
    <t>Ent y mun reside madre : Hidalgo</t>
  </si>
  <si>
    <t>Consulta de: Nacimientos registrados   Por: Año de registro y Sexo   Según: Año de ocurrencia</t>
  </si>
  <si>
    <t>39,537</t>
  </si>
  <si>
    <t>20,101</t>
  </si>
  <si>
    <t>19,427</t>
  </si>
  <si>
    <t>12,281</t>
  </si>
  <si>
    <t>39,591</t>
  </si>
  <si>
    <t>6,208</t>
  </si>
  <si>
    <t>20,191</t>
  </si>
  <si>
    <t>6,073</t>
  </si>
  <si>
    <t>19,400</t>
  </si>
  <si>
    <t>1,545</t>
  </si>
  <si>
    <t>12,750</t>
  </si>
  <si>
    <t>41,112</t>
  </si>
  <si>
    <t>6,481</t>
  </si>
  <si>
    <t>21,073</t>
  </si>
  <si>
    <t>6,269</t>
  </si>
  <si>
    <t>20,033</t>
  </si>
  <si>
    <t>898</t>
  </si>
  <si>
    <t>1,448</t>
  </si>
  <si>
    <t>11,902</t>
  </si>
  <si>
    <t>40,521</t>
  </si>
  <si>
    <t>729</t>
  </si>
  <si>
    <t>6,076</t>
  </si>
  <si>
    <t>20,507</t>
  </si>
  <si>
    <t>5,825</t>
  </si>
  <si>
    <t>19,967</t>
  </si>
  <si>
    <t>862</t>
  </si>
  <si>
    <t>1,322</t>
  </si>
  <si>
    <t>12,014</t>
  </si>
  <si>
    <t>39,582</t>
  </si>
  <si>
    <t>19,997</t>
  </si>
  <si>
    <t>5,938</t>
  </si>
  <si>
    <t>19,571</t>
  </si>
  <si>
    <t>11,391</t>
  </si>
  <si>
    <t>37,665</t>
  </si>
  <si>
    <t>5,836</t>
  </si>
  <si>
    <t>19,306</t>
  </si>
  <si>
    <t>5,555</t>
  </si>
  <si>
    <t>18,359</t>
  </si>
  <si>
    <t>11,122</t>
  </si>
  <si>
    <t>38,034</t>
  </si>
  <si>
    <t>468</t>
  </si>
  <si>
    <t>5,638</t>
  </si>
  <si>
    <t>19,409</t>
  </si>
  <si>
    <t>491</t>
  </si>
  <si>
    <t>5,484</t>
  </si>
  <si>
    <t>18,625</t>
  </si>
  <si>
    <t>896</t>
  </si>
  <si>
    <t>10,832</t>
  </si>
  <si>
    <t>37,761</t>
  </si>
  <si>
    <t>5,595</t>
  </si>
  <si>
    <t>19,114</t>
  </si>
  <si>
    <t>437</t>
  </si>
  <si>
    <t>5,237</t>
  </si>
  <si>
    <t>18,647</t>
  </si>
  <si>
    <t>10,195</t>
  </si>
  <si>
    <t>36,656</t>
  </si>
  <si>
    <t>5,148</t>
  </si>
  <si>
    <t>18,520</t>
  </si>
  <si>
    <t>5,047</t>
  </si>
  <si>
    <t>18,136</t>
  </si>
  <si>
    <t>852</t>
  </si>
  <si>
    <t>10,092</t>
  </si>
  <si>
    <t>34,542</t>
  </si>
  <si>
    <t>5,049</t>
  </si>
  <si>
    <t>17,674</t>
  </si>
  <si>
    <t>5,043</t>
  </si>
  <si>
    <t>16,868</t>
  </si>
  <si>
    <t>338</t>
  </si>
  <si>
    <t>9,041</t>
  </si>
  <si>
    <t>32,481</t>
  </si>
  <si>
    <t>4,641</t>
  </si>
  <si>
    <t>16,559</t>
  </si>
  <si>
    <t>4,400</t>
  </si>
  <si>
    <t>15,922</t>
  </si>
  <si>
    <t>7,926</t>
  </si>
  <si>
    <t>27,629</t>
  </si>
  <si>
    <t>4,027</t>
  </si>
  <si>
    <t>14,000</t>
  </si>
  <si>
    <t>3,899</t>
  </si>
  <si>
    <t>13,629</t>
  </si>
  <si>
    <t>10,619</t>
  </si>
  <si>
    <t>26,384</t>
  </si>
  <si>
    <t>5,400</t>
  </si>
  <si>
    <t>13,524</t>
  </si>
  <si>
    <t>5,219</t>
  </si>
  <si>
    <t>12,860</t>
  </si>
  <si>
    <t>819</t>
  </si>
  <si>
    <t>8,341</t>
  </si>
  <si>
    <t>4,278</t>
  </si>
  <si>
    <t>4,063</t>
  </si>
  <si>
    <t>605</t>
  </si>
  <si>
    <t>26,208</t>
  </si>
  <si>
    <t>307</t>
  </si>
  <si>
    <t>13,217</t>
  </si>
  <si>
    <t>12,991</t>
  </si>
  <si>
    <t>6,816</t>
  </si>
  <si>
    <t>24,720</t>
  </si>
  <si>
    <t>3,458</t>
  </si>
  <si>
    <t>12,584</t>
  </si>
  <si>
    <t>3,358</t>
  </si>
  <si>
    <t>12,136</t>
  </si>
  <si>
    <t>FUENTE: INEGI. Estadísticas de natalidad.</t>
  </si>
  <si>
    <t>HIDALGO: DIAGRAMA DE LEXIS, DEFUNCIONES FEMENINAS, 2017-2024</t>
  </si>
  <si>
    <t>HIDALGO: DIAGRAMA DE LEXIS, DEFUNCIONES MASCULINAS, 2017-2024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</si>
</sst>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_)"/>
    <numFmt numFmtId="165" formatCode="0_)"/>
    <numFmt numFmtId="166" formatCode="0.0000"/>
    <numFmt numFmtId="167" formatCode="0.0"/>
    <numFmt numFmtId="168" formatCode="##"/>
  </numFmts>
  <fonts count="24" x14ac:knownFonts="1">
    <font>
      <sz val="11"/>
      <color theme="1"/>
      <name val="Calibri"/>
      <family val="2"/>
      <scheme val="minor"/>
    </font>
    <font>
      <sz val="8"/>
      <name val="MS Sans Serif"/>
      <family val="2"/>
    </font>
    <font>
      <sz val="9"/>
      <name val="MS Sans Serif"/>
      <family val="2"/>
    </font>
    <font>
      <sz val="8"/>
      <color rgb="FF000000"/>
      <name val="Arial"/>
      <family val="2"/>
    </font>
    <font>
      <sz val="9"/>
      <name val="Arial"/>
      <family val="2"/>
    </font>
    <font>
      <b/>
      <sz val="9"/>
      <name val="Arial"/>
      <family val="2"/>
    </font>
    <font>
      <sz val="11"/>
      <name val="Calibri"/>
      <family val="2"/>
      <scheme val="minor"/>
    </font>
    <font>
      <b/>
      <sz val="11"/>
      <name val="Calibri"/>
      <family val="2"/>
      <scheme val="minor"/>
    </font>
    <font>
      <b/>
      <vertAlign val="subscript"/>
      <sz val="11"/>
      <name val="Calibri"/>
      <family val="2"/>
      <scheme val="minor"/>
    </font>
    <font>
      <b/>
      <sz val="11"/>
      <color theme="1"/>
      <name val="Calibri"/>
      <family val="2"/>
      <scheme val="minor"/>
    </font>
    <font>
      <sz val="11"/>
      <color rgb="FFFF0000"/>
      <name val="Calibri"/>
      <family val="2"/>
      <scheme val="minor"/>
    </font>
    <font>
      <sz val="9"/>
      <color rgb="FFFF0000"/>
      <name val="Arial"/>
      <family val="2"/>
    </font>
    <font>
      <b/>
      <i/>
      <sz val="9"/>
      <name val="Arial"/>
      <family val="2"/>
    </font>
    <font>
      <b/>
      <vertAlign val="subscript"/>
      <sz val="11"/>
      <color theme="1"/>
      <name val="Calibri"/>
      <family val="2"/>
      <scheme val="minor"/>
    </font>
    <font>
      <vertAlign val="subscript"/>
      <sz val="9"/>
      <name val="Arial"/>
      <family val="2"/>
    </font>
    <font>
      <sz val="11"/>
      <color theme="1"/>
      <name val="Calibri"/>
      <family val="2"/>
      <scheme val="minor"/>
    </font>
    <font>
      <sz val="11"/>
      <name val="Calibri"/>
    </font>
    <font>
      <sz val="11"/>
      <color theme="9" tint="-0.249977111117893"/>
      <name val="Calibri"/>
      <family val="2"/>
      <scheme val="minor"/>
    </font>
    <font>
      <sz val="11"/>
      <color rgb="FF0070C0"/>
      <name val="Calibri"/>
      <family val="2"/>
      <scheme val="minor"/>
    </font>
    <font>
      <sz val="11"/>
      <color rgb="FF00B050"/>
      <name val="Calibri"/>
      <family val="2"/>
      <scheme val="minor"/>
    </font>
    <font>
      <sz val="11"/>
      <color theme="2" tint="-0.499984740745262"/>
      <name val="Calibri"/>
      <family val="2"/>
      <scheme val="minor"/>
    </font>
    <font>
      <sz val="11"/>
      <color theme="7" tint="-0.249977111117893"/>
      <name val="Calibri"/>
      <family val="2"/>
      <scheme val="minor"/>
    </font>
    <font>
      <sz val="11"/>
      <color theme="8" tint="-0.249977111117893"/>
      <name val="Calibri"/>
      <family val="2"/>
      <scheme val="minor"/>
    </font>
    <font>
      <sz val="11"/>
      <color rgb="FF7030A0"/>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5" tint="0.79998168889431442"/>
        <bgColor indexed="64"/>
      </patternFill>
    </fill>
    <fill>
      <patternFill patternType="solid">
        <fgColor theme="0"/>
        <bgColor indexed="64"/>
      </patternFill>
    </fill>
  </fills>
  <borders count="20">
    <border>
      <left/>
      <right/>
      <top/>
      <bottom/>
      <diagonal/>
    </border>
    <border>
      <left/>
      <right/>
      <top style="thin">
        <color indexed="64"/>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style="medium">
        <color indexed="64"/>
      </left>
      <right style="medium">
        <color indexed="64"/>
      </right>
      <top/>
      <bottom style="medium">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top style="thin">
        <color indexed="64"/>
      </top>
      <bottom style="thin">
        <color indexed="64"/>
      </bottom>
      <diagonal/>
    </border>
  </borders>
  <cellStyleXfs count="3">
    <xf numFmtId="0" fontId="0" fillId="0" borderId="0"/>
    <xf numFmtId="9" fontId="15" fillId="0" borderId="0" applyFont="0" applyFill="0" applyBorder="0" applyAlignment="0" applyProtection="0"/>
    <xf numFmtId="0" fontId="16" fillId="0" borderId="0"/>
  </cellStyleXfs>
  <cellXfs count="144">
    <xf numFmtId="0" fontId="0" fillId="0" borderId="0" xfId="0"/>
    <xf numFmtId="165" fontId="2" fillId="0" borderId="0" xfId="0" applyNumberFormat="1" applyFont="1" applyAlignment="1">
      <alignment horizontal="right"/>
    </xf>
    <xf numFmtId="0" fontId="3" fillId="0" borderId="0" xfId="0" applyFont="1" applyAlignment="1">
      <alignment vertical="top" wrapText="1"/>
    </xf>
    <xf numFmtId="3" fontId="3" fillId="0" borderId="0" xfId="0" applyNumberFormat="1" applyFont="1" applyAlignment="1">
      <alignment horizontal="right" wrapText="1"/>
    </xf>
    <xf numFmtId="0" fontId="3" fillId="0" borderId="0" xfId="0" applyFont="1" applyAlignment="1">
      <alignment horizontal="right" wrapText="1"/>
    </xf>
    <xf numFmtId="0" fontId="1" fillId="0" borderId="0" xfId="0" quotePrefix="1" applyFont="1"/>
    <xf numFmtId="0" fontId="4" fillId="0" borderId="0" xfId="0" applyFont="1"/>
    <xf numFmtId="0" fontId="4" fillId="0" borderId="0" xfId="0" applyFont="1" applyAlignment="1">
      <alignment horizontal="center"/>
    </xf>
    <xf numFmtId="1" fontId="0" fillId="0" borderId="0" xfId="0" applyNumberFormat="1" applyAlignment="1">
      <alignment vertical="center"/>
    </xf>
    <xf numFmtId="0" fontId="0" fillId="0" borderId="0" xfId="0" applyAlignment="1">
      <alignment vertical="center"/>
    </xf>
    <xf numFmtId="165" fontId="0" fillId="0" borderId="0" xfId="0" applyNumberFormat="1" applyAlignment="1">
      <alignment vertical="center"/>
    </xf>
    <xf numFmtId="164" fontId="6" fillId="0" borderId="0" xfId="0" applyNumberFormat="1" applyFont="1" applyAlignment="1">
      <alignment vertical="center"/>
    </xf>
    <xf numFmtId="0" fontId="6" fillId="0" borderId="0" xfId="0" applyFont="1" applyAlignment="1">
      <alignment horizontal="center" vertical="center"/>
    </xf>
    <xf numFmtId="0" fontId="7" fillId="0" borderId="0" xfId="0" applyFont="1" applyAlignment="1">
      <alignment horizontal="left" vertical="center" wrapText="1"/>
    </xf>
    <xf numFmtId="1" fontId="0" fillId="0" borderId="0" xfId="0" applyNumberFormat="1" applyAlignment="1">
      <alignment horizontal="center" vertical="center"/>
    </xf>
    <xf numFmtId="0" fontId="7" fillId="0" borderId="0" xfId="0" applyFont="1" applyAlignment="1">
      <alignment horizontal="center" vertical="center" wrapText="1"/>
    </xf>
    <xf numFmtId="0" fontId="7" fillId="0" borderId="0" xfId="0" applyFont="1" applyAlignment="1">
      <alignment vertical="center"/>
    </xf>
    <xf numFmtId="1" fontId="6" fillId="0" borderId="0" xfId="0" applyNumberFormat="1" applyFont="1" applyAlignment="1">
      <alignment vertical="center"/>
    </xf>
    <xf numFmtId="0" fontId="6" fillId="0" borderId="2" xfId="0" applyFont="1" applyBorder="1" applyAlignment="1">
      <alignment horizontal="center" vertical="center"/>
    </xf>
    <xf numFmtId="0" fontId="7" fillId="0" borderId="2" xfId="0" quotePrefix="1" applyFont="1" applyBorder="1" applyAlignment="1">
      <alignment horizontal="center" vertical="center"/>
    </xf>
    <xf numFmtId="0" fontId="7" fillId="0" borderId="2" xfId="0" applyFont="1" applyBorder="1" applyAlignment="1">
      <alignment horizontal="center" vertical="center" wrapText="1"/>
    </xf>
    <xf numFmtId="0" fontId="7" fillId="0" borderId="2" xfId="0" applyFont="1" applyBorder="1" applyAlignment="1">
      <alignment horizontal="center" vertical="center"/>
    </xf>
    <xf numFmtId="0" fontId="4" fillId="4" borderId="0" xfId="0" applyFont="1" applyFill="1" applyAlignment="1">
      <alignment vertical="center"/>
    </xf>
    <xf numFmtId="0" fontId="4" fillId="4" borderId="0" xfId="0" applyFont="1" applyFill="1"/>
    <xf numFmtId="1" fontId="10" fillId="4" borderId="0" xfId="0" applyNumberFormat="1" applyFont="1" applyFill="1"/>
    <xf numFmtId="1" fontId="11" fillId="4" borderId="0" xfId="0" applyNumberFormat="1" applyFont="1" applyFill="1"/>
    <xf numFmtId="1" fontId="11" fillId="4" borderId="0" xfId="0" applyNumberFormat="1" applyFont="1" applyFill="1" applyAlignment="1">
      <alignment horizontal="center"/>
    </xf>
    <xf numFmtId="1" fontId="4" fillId="4" borderId="0" xfId="0" applyNumberFormat="1" applyFont="1" applyFill="1"/>
    <xf numFmtId="0" fontId="4" fillId="4" borderId="0" xfId="0" applyFont="1" applyFill="1" applyAlignment="1">
      <alignment horizontal="left"/>
    </xf>
    <xf numFmtId="1" fontId="10" fillId="4" borderId="0" xfId="0" applyNumberFormat="1" applyFont="1" applyFill="1" applyAlignment="1">
      <alignment horizontal="left"/>
    </xf>
    <xf numFmtId="1" fontId="11" fillId="4" borderId="0" xfId="0" applyNumberFormat="1" applyFont="1" applyFill="1" applyAlignment="1">
      <alignment horizontal="left"/>
    </xf>
    <xf numFmtId="1" fontId="11" fillId="4" borderId="5" xfId="0" applyNumberFormat="1" applyFont="1" applyFill="1" applyBorder="1" applyAlignment="1">
      <alignment horizontal="left"/>
    </xf>
    <xf numFmtId="1" fontId="11" fillId="4" borderId="6" xfId="0" applyNumberFormat="1" applyFont="1" applyFill="1" applyBorder="1"/>
    <xf numFmtId="1" fontId="11" fillId="4" borderId="8" xfId="0" applyNumberFormat="1" applyFont="1" applyFill="1" applyBorder="1"/>
    <xf numFmtId="1" fontId="11" fillId="4" borderId="6" xfId="0" applyNumberFormat="1" applyFont="1" applyFill="1" applyBorder="1" applyAlignment="1">
      <alignment horizontal="center"/>
    </xf>
    <xf numFmtId="1" fontId="4" fillId="4" borderId="0" xfId="0" applyNumberFormat="1" applyFont="1" applyFill="1" applyAlignment="1">
      <alignment horizontal="center"/>
    </xf>
    <xf numFmtId="0" fontId="12" fillId="4" borderId="0" xfId="0" applyFont="1" applyFill="1" applyAlignment="1">
      <alignment horizontal="center" vertical="center"/>
    </xf>
    <xf numFmtId="0" fontId="4" fillId="4" borderId="0" xfId="0" applyFont="1" applyFill="1" applyAlignment="1">
      <alignment horizontal="center" vertical="center"/>
    </xf>
    <xf numFmtId="0" fontId="5" fillId="4" borderId="0" xfId="0" applyFont="1" applyFill="1" applyAlignment="1">
      <alignment horizontal="center" vertical="center"/>
    </xf>
    <xf numFmtId="1" fontId="5" fillId="4" borderId="0" xfId="0" applyNumberFormat="1" applyFont="1" applyFill="1" applyAlignment="1">
      <alignment horizontal="center"/>
    </xf>
    <xf numFmtId="0" fontId="5" fillId="4" borderId="0" xfId="0" applyFont="1" applyFill="1" applyAlignment="1">
      <alignment horizontal="center"/>
    </xf>
    <xf numFmtId="0" fontId="12" fillId="4" borderId="0" xfId="0" applyFont="1" applyFill="1" applyAlignment="1">
      <alignment horizontal="right" vertical="center"/>
    </xf>
    <xf numFmtId="1" fontId="11" fillId="4" borderId="0" xfId="0" applyNumberFormat="1" applyFont="1" applyFill="1" applyAlignment="1">
      <alignment horizontal="center" vertical="center" textRotation="90"/>
    </xf>
    <xf numFmtId="166" fontId="4" fillId="4" borderId="0" xfId="0" applyNumberFormat="1" applyFont="1" applyFill="1"/>
    <xf numFmtId="0" fontId="9" fillId="0" borderId="0" xfId="0" applyFont="1" applyAlignment="1">
      <alignment vertical="center"/>
    </xf>
    <xf numFmtId="0" fontId="7" fillId="0" borderId="0" xfId="0" applyFont="1" applyAlignment="1">
      <alignment horizontal="left" vertical="center"/>
    </xf>
    <xf numFmtId="1" fontId="6" fillId="2" borderId="2" xfId="0" applyNumberFormat="1" applyFont="1" applyFill="1" applyBorder="1" applyAlignment="1">
      <alignment horizontal="right" vertical="center"/>
    </xf>
    <xf numFmtId="1" fontId="6" fillId="3" borderId="2" xfId="0" applyNumberFormat="1" applyFont="1" applyFill="1" applyBorder="1" applyAlignment="1">
      <alignment horizontal="right" vertical="center"/>
    </xf>
    <xf numFmtId="165" fontId="6" fillId="2" borderId="2" xfId="0" applyNumberFormat="1" applyFont="1" applyFill="1" applyBorder="1" applyAlignment="1">
      <alignment horizontal="right" vertical="center"/>
    </xf>
    <xf numFmtId="165" fontId="6" fillId="3" borderId="2" xfId="0" applyNumberFormat="1" applyFont="1" applyFill="1" applyBorder="1" applyAlignment="1">
      <alignment horizontal="right" vertical="center"/>
    </xf>
    <xf numFmtId="0" fontId="6" fillId="0" borderId="0" xfId="0" applyFont="1"/>
    <xf numFmtId="0" fontId="6" fillId="0" borderId="0" xfId="0" applyFont="1" applyAlignment="1">
      <alignment vertical="center"/>
    </xf>
    <xf numFmtId="167" fontId="6" fillId="0" borderId="1" xfId="0" applyNumberFormat="1" applyFont="1" applyBorder="1" applyAlignment="1">
      <alignment horizontal="center" vertical="center"/>
    </xf>
    <xf numFmtId="166" fontId="6" fillId="0" borderId="1" xfId="0" applyNumberFormat="1" applyFont="1" applyBorder="1" applyAlignment="1">
      <alignment horizontal="center" vertical="center"/>
    </xf>
    <xf numFmtId="2" fontId="6" fillId="0" borderId="1" xfId="0" applyNumberFormat="1" applyFont="1" applyBorder="1" applyAlignment="1">
      <alignment horizontal="center" vertical="center"/>
    </xf>
    <xf numFmtId="166" fontId="6" fillId="0" borderId="10" xfId="0" applyNumberFormat="1" applyFont="1" applyBorder="1" applyAlignment="1">
      <alignment horizontal="center" vertical="center"/>
    </xf>
    <xf numFmtId="166" fontId="6" fillId="0" borderId="12" xfId="0" applyNumberFormat="1" applyFont="1" applyBorder="1" applyAlignment="1">
      <alignment horizontal="center" vertical="center"/>
    </xf>
    <xf numFmtId="167" fontId="6" fillId="0" borderId="9" xfId="0" applyNumberFormat="1" applyFont="1" applyBorder="1" applyAlignment="1">
      <alignment horizontal="center" vertical="center"/>
    </xf>
    <xf numFmtId="166" fontId="6" fillId="0" borderId="9" xfId="0" applyNumberFormat="1" applyFont="1" applyBorder="1" applyAlignment="1">
      <alignment horizontal="center" vertical="center"/>
    </xf>
    <xf numFmtId="2" fontId="6" fillId="0" borderId="9" xfId="0" applyNumberFormat="1" applyFont="1" applyBorder="1" applyAlignment="1">
      <alignment horizontal="center" vertical="center"/>
    </xf>
    <xf numFmtId="166" fontId="6" fillId="0" borderId="11" xfId="0" applyNumberFormat="1" applyFont="1" applyBorder="1" applyAlignment="1">
      <alignment horizontal="center" vertical="center"/>
    </xf>
    <xf numFmtId="0" fontId="7" fillId="0" borderId="9" xfId="0" applyFont="1" applyBorder="1" applyAlignment="1">
      <alignment horizontal="center" vertical="center"/>
    </xf>
    <xf numFmtId="0" fontId="7" fillId="0" borderId="13" xfId="0" applyFont="1" applyBorder="1" applyAlignment="1">
      <alignment horizontal="center" vertical="center"/>
    </xf>
    <xf numFmtId="167" fontId="6" fillId="0" borderId="0" xfId="0" applyNumberFormat="1" applyFont="1" applyAlignment="1">
      <alignment horizontal="center" vertical="center"/>
    </xf>
    <xf numFmtId="2" fontId="6" fillId="0" borderId="15" xfId="0" applyNumberFormat="1" applyFont="1" applyBorder="1" applyAlignment="1">
      <alignment horizontal="center" vertical="center"/>
    </xf>
    <xf numFmtId="166" fontId="6" fillId="0" borderId="0" xfId="0" applyNumberFormat="1" applyFont="1" applyAlignment="1">
      <alignment horizontal="center" vertical="center"/>
    </xf>
    <xf numFmtId="2" fontId="6" fillId="0" borderId="0" xfId="0" applyNumberFormat="1" applyFont="1" applyAlignment="1">
      <alignment horizontal="center" vertical="center"/>
    </xf>
    <xf numFmtId="2" fontId="6" fillId="0" borderId="18" xfId="0" applyNumberFormat="1" applyFont="1" applyBorder="1" applyAlignment="1">
      <alignment horizontal="center" vertical="center"/>
    </xf>
    <xf numFmtId="2" fontId="6" fillId="0" borderId="13" xfId="0" applyNumberFormat="1" applyFont="1" applyBorder="1" applyAlignment="1">
      <alignment horizontal="center" vertical="center"/>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6" fillId="0" borderId="14" xfId="0" applyFont="1" applyBorder="1" applyAlignment="1">
      <alignment horizontal="center" vertical="center"/>
    </xf>
    <xf numFmtId="0" fontId="7" fillId="0" borderId="11" xfId="0" applyFont="1" applyBorder="1" applyAlignment="1">
      <alignment horizontal="center" vertical="center"/>
    </xf>
    <xf numFmtId="0" fontId="5" fillId="4" borderId="0" xfId="0" applyFont="1" applyFill="1"/>
    <xf numFmtId="167" fontId="6" fillId="0" borderId="14" xfId="0" applyNumberFormat="1" applyFont="1" applyBorder="1" applyAlignment="1">
      <alignment horizontal="center" vertical="center"/>
    </xf>
    <xf numFmtId="167" fontId="6" fillId="0" borderId="16" xfId="0" applyNumberFormat="1" applyFont="1" applyBorder="1" applyAlignment="1">
      <alignment horizontal="center" vertical="center"/>
    </xf>
    <xf numFmtId="167" fontId="6" fillId="0" borderId="17" xfId="0" applyNumberFormat="1" applyFont="1" applyBorder="1" applyAlignment="1">
      <alignment horizontal="center" vertical="center"/>
    </xf>
    <xf numFmtId="168" fontId="0" fillId="0" borderId="0" xfId="0" applyNumberFormat="1" applyAlignment="1">
      <alignment horizontal="left" vertical="top"/>
    </xf>
    <xf numFmtId="0" fontId="16" fillId="0" borderId="0" xfId="2"/>
    <xf numFmtId="168" fontId="16" fillId="0" borderId="0" xfId="2" applyNumberFormat="1" applyAlignment="1">
      <alignment horizontal="left" vertical="top"/>
    </xf>
    <xf numFmtId="0" fontId="16" fillId="0" borderId="0" xfId="2" applyAlignment="1">
      <alignment horizontal="left" vertical="top"/>
    </xf>
    <xf numFmtId="3" fontId="16" fillId="0" borderId="0" xfId="2" applyNumberFormat="1" applyAlignment="1">
      <alignment horizontal="left" vertical="top"/>
    </xf>
    <xf numFmtId="3" fontId="0" fillId="0" borderId="0" xfId="0" applyNumberFormat="1" applyAlignment="1">
      <alignment vertical="center"/>
    </xf>
    <xf numFmtId="2" fontId="16" fillId="0" borderId="0" xfId="1" applyNumberFormat="1" applyFont="1" applyAlignment="1">
      <alignment horizontal="left" vertical="top"/>
    </xf>
    <xf numFmtId="1" fontId="10" fillId="2" borderId="2" xfId="0" applyNumberFormat="1" applyFont="1" applyFill="1" applyBorder="1" applyAlignment="1">
      <alignment horizontal="right" vertical="center"/>
    </xf>
    <xf numFmtId="165" fontId="10" fillId="2" borderId="2" xfId="0" applyNumberFormat="1" applyFont="1" applyFill="1" applyBorder="1" applyAlignment="1">
      <alignment horizontal="right" vertical="center"/>
    </xf>
    <xf numFmtId="1" fontId="17" fillId="2" borderId="2" xfId="0" applyNumberFormat="1" applyFont="1" applyFill="1" applyBorder="1" applyAlignment="1">
      <alignment horizontal="right" vertical="center"/>
    </xf>
    <xf numFmtId="1" fontId="11" fillId="4" borderId="8" xfId="0" applyNumberFormat="1" applyFont="1" applyFill="1" applyBorder="1" applyAlignment="1">
      <alignment horizontal="right"/>
    </xf>
    <xf numFmtId="165" fontId="17" fillId="2" borderId="2" xfId="0" applyNumberFormat="1" applyFont="1" applyFill="1" applyBorder="1" applyAlignment="1">
      <alignment horizontal="right" vertical="center"/>
    </xf>
    <xf numFmtId="1" fontId="18" fillId="2" borderId="2" xfId="0" applyNumberFormat="1" applyFont="1" applyFill="1" applyBorder="1" applyAlignment="1">
      <alignment horizontal="right" vertical="center"/>
    </xf>
    <xf numFmtId="165" fontId="18" fillId="2" borderId="2" xfId="0" applyNumberFormat="1" applyFont="1" applyFill="1" applyBorder="1" applyAlignment="1">
      <alignment horizontal="right" vertical="center"/>
    </xf>
    <xf numFmtId="1" fontId="19" fillId="2" borderId="2" xfId="0" applyNumberFormat="1" applyFont="1" applyFill="1" applyBorder="1" applyAlignment="1">
      <alignment horizontal="right" vertical="center"/>
    </xf>
    <xf numFmtId="165" fontId="19" fillId="2" borderId="2" xfId="0" applyNumberFormat="1" applyFont="1" applyFill="1" applyBorder="1" applyAlignment="1">
      <alignment horizontal="right" vertical="center"/>
    </xf>
    <xf numFmtId="1" fontId="20" fillId="2" borderId="2" xfId="0" applyNumberFormat="1" applyFont="1" applyFill="1" applyBorder="1" applyAlignment="1">
      <alignment horizontal="right" vertical="center"/>
    </xf>
    <xf numFmtId="165" fontId="20" fillId="2" borderId="2" xfId="0" applyNumberFormat="1" applyFont="1" applyFill="1" applyBorder="1" applyAlignment="1">
      <alignment horizontal="right" vertical="center"/>
    </xf>
    <xf numFmtId="1" fontId="21" fillId="2" borderId="2" xfId="0" applyNumberFormat="1" applyFont="1" applyFill="1" applyBorder="1" applyAlignment="1">
      <alignment horizontal="right" vertical="center"/>
    </xf>
    <xf numFmtId="165" fontId="21" fillId="2" borderId="2" xfId="0" applyNumberFormat="1" applyFont="1" applyFill="1" applyBorder="1" applyAlignment="1">
      <alignment horizontal="right" vertical="center"/>
    </xf>
    <xf numFmtId="1" fontId="22" fillId="2" borderId="2" xfId="0" applyNumberFormat="1" applyFont="1" applyFill="1" applyBorder="1" applyAlignment="1">
      <alignment horizontal="right" vertical="center"/>
    </xf>
    <xf numFmtId="165" fontId="22" fillId="2" borderId="2" xfId="0" applyNumberFormat="1" applyFont="1" applyFill="1" applyBorder="1" applyAlignment="1">
      <alignment horizontal="right" vertical="center"/>
    </xf>
    <xf numFmtId="1" fontId="23" fillId="2" borderId="2" xfId="0" applyNumberFormat="1" applyFont="1" applyFill="1" applyBorder="1" applyAlignment="1">
      <alignment horizontal="right" vertical="center"/>
    </xf>
    <xf numFmtId="1" fontId="10" fillId="3" borderId="2" xfId="0" applyNumberFormat="1" applyFont="1" applyFill="1" applyBorder="1" applyAlignment="1">
      <alignment horizontal="right" vertical="center"/>
    </xf>
    <xf numFmtId="165" fontId="10" fillId="3" borderId="2" xfId="0" applyNumberFormat="1" applyFont="1" applyFill="1" applyBorder="1" applyAlignment="1">
      <alignment horizontal="right" vertical="center"/>
    </xf>
    <xf numFmtId="1" fontId="17" fillId="3" borderId="2" xfId="0" applyNumberFormat="1" applyFont="1" applyFill="1" applyBorder="1" applyAlignment="1">
      <alignment horizontal="right" vertical="center"/>
    </xf>
    <xf numFmtId="165" fontId="17" fillId="3" borderId="2" xfId="0" applyNumberFormat="1" applyFont="1" applyFill="1" applyBorder="1" applyAlignment="1">
      <alignment horizontal="right" vertical="center"/>
    </xf>
    <xf numFmtId="1" fontId="18" fillId="3" borderId="2" xfId="0" applyNumberFormat="1" applyFont="1" applyFill="1" applyBorder="1" applyAlignment="1">
      <alignment horizontal="right" vertical="center"/>
    </xf>
    <xf numFmtId="165" fontId="18" fillId="3" borderId="2" xfId="0" applyNumberFormat="1" applyFont="1" applyFill="1" applyBorder="1" applyAlignment="1">
      <alignment horizontal="right" vertical="center"/>
    </xf>
    <xf numFmtId="1" fontId="19" fillId="3" borderId="2" xfId="0" applyNumberFormat="1" applyFont="1" applyFill="1" applyBorder="1" applyAlignment="1">
      <alignment horizontal="right" vertical="center"/>
    </xf>
    <xf numFmtId="165" fontId="19" fillId="3" borderId="2" xfId="0" applyNumberFormat="1" applyFont="1" applyFill="1" applyBorder="1" applyAlignment="1">
      <alignment horizontal="right" vertical="center"/>
    </xf>
    <xf numFmtId="1" fontId="20" fillId="3" borderId="2" xfId="0" applyNumberFormat="1" applyFont="1" applyFill="1" applyBorder="1" applyAlignment="1">
      <alignment horizontal="right" vertical="center"/>
    </xf>
    <xf numFmtId="165" fontId="20" fillId="3" borderId="2" xfId="0" applyNumberFormat="1" applyFont="1" applyFill="1" applyBorder="1" applyAlignment="1">
      <alignment horizontal="right" vertical="center"/>
    </xf>
    <xf numFmtId="1" fontId="21" fillId="3" borderId="2" xfId="0" applyNumberFormat="1" applyFont="1" applyFill="1" applyBorder="1" applyAlignment="1">
      <alignment horizontal="right" vertical="center"/>
    </xf>
    <xf numFmtId="165" fontId="21" fillId="3" borderId="2" xfId="0" applyNumberFormat="1" applyFont="1" applyFill="1" applyBorder="1" applyAlignment="1">
      <alignment horizontal="right" vertical="center"/>
    </xf>
    <xf numFmtId="1" fontId="22" fillId="3" borderId="2" xfId="0" applyNumberFormat="1" applyFont="1" applyFill="1" applyBorder="1" applyAlignment="1">
      <alignment horizontal="right" vertical="center"/>
    </xf>
    <xf numFmtId="165" fontId="22" fillId="3" borderId="2" xfId="0" applyNumberFormat="1" applyFont="1" applyFill="1" applyBorder="1" applyAlignment="1">
      <alignment horizontal="right" vertical="center"/>
    </xf>
    <xf numFmtId="1" fontId="23" fillId="3" borderId="2" xfId="0" applyNumberFormat="1" applyFont="1" applyFill="1" applyBorder="1" applyAlignment="1">
      <alignment horizontal="right" vertical="center"/>
    </xf>
    <xf numFmtId="167" fontId="6" fillId="0" borderId="2" xfId="0" applyNumberFormat="1" applyFont="1" applyBorder="1" applyAlignment="1">
      <alignment horizontal="center" vertical="center"/>
    </xf>
    <xf numFmtId="0" fontId="4" fillId="0" borderId="16" xfId="0" applyFont="1" applyBorder="1" applyAlignment="1">
      <alignment horizontal="center"/>
    </xf>
    <xf numFmtId="0" fontId="4" fillId="0" borderId="17" xfId="0" applyFont="1" applyBorder="1" applyAlignment="1">
      <alignment horizontal="center"/>
    </xf>
    <xf numFmtId="0" fontId="4" fillId="0" borderId="14" xfId="0" applyFont="1" applyBorder="1" applyAlignment="1">
      <alignment horizontal="center"/>
    </xf>
    <xf numFmtId="0" fontId="4" fillId="0" borderId="16" xfId="0" applyFont="1" applyBorder="1"/>
    <xf numFmtId="0" fontId="4" fillId="0" borderId="17" xfId="0" applyFont="1" applyBorder="1"/>
    <xf numFmtId="0" fontId="4" fillId="0" borderId="14" xfId="0" applyFont="1" applyBorder="1"/>
    <xf numFmtId="1" fontId="11" fillId="4" borderId="6" xfId="0" applyNumberFormat="1" applyFont="1" applyFill="1" applyBorder="1" applyAlignment="1">
      <alignment horizontal="center" vertical="center" textRotation="90"/>
    </xf>
    <xf numFmtId="0" fontId="5" fillId="4" borderId="0" xfId="0" applyFont="1" applyFill="1" applyAlignment="1">
      <alignment horizontal="center" vertical="center"/>
    </xf>
    <xf numFmtId="1" fontId="11" fillId="4" borderId="7" xfId="0" applyNumberFormat="1" applyFont="1" applyFill="1" applyBorder="1" applyAlignment="1">
      <alignment horizontal="center" vertical="center" textRotation="90"/>
    </xf>
    <xf numFmtId="0" fontId="12" fillId="4" borderId="0" xfId="0" applyFont="1" applyFill="1" applyAlignment="1">
      <alignment horizontal="center" vertical="center"/>
    </xf>
    <xf numFmtId="1" fontId="5" fillId="4" borderId="0" xfId="0" applyNumberFormat="1" applyFont="1" applyFill="1" applyAlignment="1">
      <alignment horizontal="center" vertical="center" textRotation="90"/>
    </xf>
    <xf numFmtId="0" fontId="6" fillId="0" borderId="1" xfId="0" applyFont="1" applyBorder="1" applyAlignment="1">
      <alignment horizontal="left" vertical="center" wrapText="1"/>
    </xf>
    <xf numFmtId="0" fontId="7" fillId="0" borderId="0" xfId="0" quotePrefix="1" applyFont="1" applyAlignment="1">
      <alignment horizontal="center" vertical="center"/>
    </xf>
    <xf numFmtId="0" fontId="7" fillId="0" borderId="0" xfId="0" applyFont="1" applyAlignment="1">
      <alignment horizontal="center" vertical="center" wrapText="1"/>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1" fontId="9" fillId="0" borderId="0" xfId="0" quotePrefix="1" applyNumberFormat="1" applyFont="1" applyAlignment="1">
      <alignment horizontal="center" vertical="center"/>
    </xf>
    <xf numFmtId="1" fontId="9" fillId="0" borderId="0" xfId="0" applyNumberFormat="1" applyFont="1" applyAlignment="1">
      <alignment horizontal="center" vertical="center"/>
    </xf>
    <xf numFmtId="0" fontId="7" fillId="0" borderId="2" xfId="0" applyFont="1" applyBorder="1" applyAlignment="1">
      <alignment horizontal="center" vertical="center" wrapText="1"/>
    </xf>
    <xf numFmtId="0" fontId="7" fillId="0" borderId="16" xfId="0" applyFont="1" applyBorder="1" applyAlignment="1">
      <alignment horizontal="center" vertical="center"/>
    </xf>
    <xf numFmtId="0" fontId="7" fillId="0" borderId="14" xfId="0" applyFont="1" applyBorder="1" applyAlignment="1">
      <alignment horizontal="center" vertical="center"/>
    </xf>
    <xf numFmtId="0" fontId="7" fillId="0" borderId="19" xfId="0" applyFont="1" applyBorder="1" applyAlignment="1">
      <alignment horizontal="center" vertical="center"/>
    </xf>
    <xf numFmtId="0" fontId="7" fillId="0" borderId="17" xfId="0" applyFont="1" applyBorder="1" applyAlignment="1">
      <alignment horizontal="center" vertical="center"/>
    </xf>
    <xf numFmtId="0" fontId="0" fillId="0" borderId="19" xfId="0" applyBorder="1" applyAlignment="1">
      <alignment horizontal="center" vertical="center"/>
    </xf>
    <xf numFmtId="0" fontId="0" fillId="0" borderId="4" xfId="0" applyBorder="1" applyAlignment="1">
      <alignment horizontal="center" vertical="center"/>
    </xf>
    <xf numFmtId="0" fontId="7" fillId="0" borderId="16" xfId="0" applyFont="1" applyBorder="1" applyAlignment="1">
      <alignment horizontal="center" vertical="center" wrapText="1"/>
    </xf>
    <xf numFmtId="0" fontId="7" fillId="0" borderId="14" xfId="0" applyFont="1" applyBorder="1" applyAlignment="1">
      <alignment horizontal="center" vertical="center" wrapText="1"/>
    </xf>
  </cellXfs>
  <cellStyles count="3">
    <cellStyle name="Normal" xfId="0" builtinId="0"/>
    <cellStyle name="Normal 2" xfId="2" xr:uid="{FBB81CA0-D374-4E94-8371-519323842343}"/>
    <cellStyle name="Percent" xfId="1" builtinId="5"/>
  </cellStyles>
  <dxfs count="0"/>
  <tableStyles count="0" defaultTableStyle="TableStyleMedium9" defaultPivotStyle="PivotStyleLight16"/>
  <colors>
    <mruColors>
      <color rgb="FFFFFF99"/>
      <color rgb="FFCCFFCC"/>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5</xdr:col>
      <xdr:colOff>0</xdr:colOff>
      <xdr:row>4</xdr:row>
      <xdr:rowOff>6350</xdr:rowOff>
    </xdr:from>
    <xdr:to>
      <xdr:col>14</xdr:col>
      <xdr:colOff>0</xdr:colOff>
      <xdr:row>28</xdr:row>
      <xdr:rowOff>0</xdr:rowOff>
    </xdr:to>
    <xdr:cxnSp macro="">
      <xdr:nvCxnSpPr>
        <xdr:cNvPr id="2" name="Straight Connector 1">
          <a:extLst>
            <a:ext uri="{FF2B5EF4-FFF2-40B4-BE49-F238E27FC236}">
              <a16:creationId xmlns:a16="http://schemas.microsoft.com/office/drawing/2014/main" id="{4D1F3829-5499-4E56-A3A6-890CF9CBECC2}"/>
            </a:ext>
          </a:extLst>
        </xdr:cNvPr>
        <xdr:cNvCxnSpPr/>
      </xdr:nvCxnSpPr>
      <xdr:spPr>
        <a:xfrm flipV="1">
          <a:off x="990600" y="349250"/>
          <a:ext cx="4076700" cy="45656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158750</xdr:colOff>
      <xdr:row>4</xdr:row>
      <xdr:rowOff>0</xdr:rowOff>
    </xdr:from>
    <xdr:to>
      <xdr:col>15</xdr:col>
      <xdr:colOff>704850</xdr:colOff>
      <xdr:row>27</xdr:row>
      <xdr:rowOff>180975</xdr:rowOff>
    </xdr:to>
    <xdr:cxnSp macro="">
      <xdr:nvCxnSpPr>
        <xdr:cNvPr id="3" name="Straight Connector 2">
          <a:extLst>
            <a:ext uri="{FF2B5EF4-FFF2-40B4-BE49-F238E27FC236}">
              <a16:creationId xmlns:a16="http://schemas.microsoft.com/office/drawing/2014/main" id="{47111C58-5387-430C-B60E-63F61A1EDFDD}"/>
            </a:ext>
          </a:extLst>
        </xdr:cNvPr>
        <xdr:cNvCxnSpPr/>
      </xdr:nvCxnSpPr>
      <xdr:spPr>
        <a:xfrm flipV="1">
          <a:off x="1835150" y="342900"/>
          <a:ext cx="4079875" cy="45624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168275</xdr:colOff>
      <xdr:row>3</xdr:row>
      <xdr:rowOff>180975</xdr:rowOff>
    </xdr:from>
    <xdr:to>
      <xdr:col>18</xdr:col>
      <xdr:colOff>0</xdr:colOff>
      <xdr:row>27</xdr:row>
      <xdr:rowOff>180975</xdr:rowOff>
    </xdr:to>
    <xdr:cxnSp macro="">
      <xdr:nvCxnSpPr>
        <xdr:cNvPr id="4" name="Straight Connector 3">
          <a:extLst>
            <a:ext uri="{FF2B5EF4-FFF2-40B4-BE49-F238E27FC236}">
              <a16:creationId xmlns:a16="http://schemas.microsoft.com/office/drawing/2014/main" id="{927AB837-465F-4294-AE32-E40879815155}"/>
            </a:ext>
          </a:extLst>
        </xdr:cNvPr>
        <xdr:cNvCxnSpPr/>
      </xdr:nvCxnSpPr>
      <xdr:spPr>
        <a:xfrm flipV="1">
          <a:off x="2682875" y="333375"/>
          <a:ext cx="4079875" cy="45720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0</xdr:colOff>
      <xdr:row>4</xdr:row>
      <xdr:rowOff>0</xdr:rowOff>
    </xdr:from>
    <xdr:to>
      <xdr:col>19</xdr:col>
      <xdr:colOff>704850</xdr:colOff>
      <xdr:row>27</xdr:row>
      <xdr:rowOff>180975</xdr:rowOff>
    </xdr:to>
    <xdr:cxnSp macro="">
      <xdr:nvCxnSpPr>
        <xdr:cNvPr id="5" name="Straight Connector 4">
          <a:extLst>
            <a:ext uri="{FF2B5EF4-FFF2-40B4-BE49-F238E27FC236}">
              <a16:creationId xmlns:a16="http://schemas.microsoft.com/office/drawing/2014/main" id="{C61FA065-9324-45FE-8B7A-0972FDF3814C}"/>
            </a:ext>
          </a:extLst>
        </xdr:cNvPr>
        <xdr:cNvCxnSpPr/>
      </xdr:nvCxnSpPr>
      <xdr:spPr>
        <a:xfrm flipV="1">
          <a:off x="3533775" y="342900"/>
          <a:ext cx="4076700" cy="45624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161925</xdr:colOff>
      <xdr:row>9</xdr:row>
      <xdr:rowOff>0</xdr:rowOff>
    </xdr:from>
    <xdr:to>
      <xdr:col>20</xdr:col>
      <xdr:colOff>0</xdr:colOff>
      <xdr:row>27</xdr:row>
      <xdr:rowOff>177800</xdr:rowOff>
    </xdr:to>
    <xdr:cxnSp macro="">
      <xdr:nvCxnSpPr>
        <xdr:cNvPr id="6" name="Straight Connector 5">
          <a:extLst>
            <a:ext uri="{FF2B5EF4-FFF2-40B4-BE49-F238E27FC236}">
              <a16:creationId xmlns:a16="http://schemas.microsoft.com/office/drawing/2014/main" id="{9FE89DB5-2CB4-4D1D-8EC9-679D9226100D}"/>
            </a:ext>
          </a:extLst>
        </xdr:cNvPr>
        <xdr:cNvCxnSpPr/>
      </xdr:nvCxnSpPr>
      <xdr:spPr>
        <a:xfrm flipV="1">
          <a:off x="4381500" y="1295400"/>
          <a:ext cx="3228975" cy="36068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0</xdr:colOff>
      <xdr:row>14</xdr:row>
      <xdr:rowOff>0</xdr:rowOff>
    </xdr:from>
    <xdr:to>
      <xdr:col>19</xdr:col>
      <xdr:colOff>704850</xdr:colOff>
      <xdr:row>27</xdr:row>
      <xdr:rowOff>180975</xdr:rowOff>
    </xdr:to>
    <xdr:cxnSp macro="">
      <xdr:nvCxnSpPr>
        <xdr:cNvPr id="7" name="Straight Connector 6">
          <a:extLst>
            <a:ext uri="{FF2B5EF4-FFF2-40B4-BE49-F238E27FC236}">
              <a16:creationId xmlns:a16="http://schemas.microsoft.com/office/drawing/2014/main" id="{6CA3968D-075E-43F5-B9DA-7888A4DFC4CB}"/>
            </a:ext>
          </a:extLst>
        </xdr:cNvPr>
        <xdr:cNvCxnSpPr/>
      </xdr:nvCxnSpPr>
      <xdr:spPr>
        <a:xfrm flipV="1">
          <a:off x="5229225" y="2247900"/>
          <a:ext cx="2381250" cy="26574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161925</xdr:colOff>
      <xdr:row>18</xdr:row>
      <xdr:rowOff>180975</xdr:rowOff>
    </xdr:from>
    <xdr:to>
      <xdr:col>20</xdr:col>
      <xdr:colOff>9525</xdr:colOff>
      <xdr:row>27</xdr:row>
      <xdr:rowOff>177800</xdr:rowOff>
    </xdr:to>
    <xdr:cxnSp macro="">
      <xdr:nvCxnSpPr>
        <xdr:cNvPr id="8" name="Straight Connector 7">
          <a:extLst>
            <a:ext uri="{FF2B5EF4-FFF2-40B4-BE49-F238E27FC236}">
              <a16:creationId xmlns:a16="http://schemas.microsoft.com/office/drawing/2014/main" id="{17B7F76F-958D-4BF6-9B14-37821FE36505}"/>
            </a:ext>
          </a:extLst>
        </xdr:cNvPr>
        <xdr:cNvCxnSpPr/>
      </xdr:nvCxnSpPr>
      <xdr:spPr>
        <a:xfrm flipV="1">
          <a:off x="6076950" y="3190875"/>
          <a:ext cx="1543050" cy="17113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0</xdr:colOff>
      <xdr:row>23</xdr:row>
      <xdr:rowOff>177800</xdr:rowOff>
    </xdr:from>
    <xdr:to>
      <xdr:col>20</xdr:col>
      <xdr:colOff>9525</xdr:colOff>
      <xdr:row>28</xdr:row>
      <xdr:rowOff>0</xdr:rowOff>
    </xdr:to>
    <xdr:cxnSp macro="">
      <xdr:nvCxnSpPr>
        <xdr:cNvPr id="9" name="Straight Connector 8">
          <a:extLst>
            <a:ext uri="{FF2B5EF4-FFF2-40B4-BE49-F238E27FC236}">
              <a16:creationId xmlns:a16="http://schemas.microsoft.com/office/drawing/2014/main" id="{BC6A7F09-1C56-430E-96ED-38A2F9B67BA3}"/>
            </a:ext>
          </a:extLst>
        </xdr:cNvPr>
        <xdr:cNvCxnSpPr/>
      </xdr:nvCxnSpPr>
      <xdr:spPr>
        <a:xfrm flipV="1">
          <a:off x="6924675" y="4140200"/>
          <a:ext cx="695325" cy="7747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742950</xdr:colOff>
      <xdr:row>3</xdr:row>
      <xdr:rowOff>177800</xdr:rowOff>
    </xdr:from>
    <xdr:to>
      <xdr:col>35</xdr:col>
      <xdr:colOff>6350</xdr:colOff>
      <xdr:row>28</xdr:row>
      <xdr:rowOff>9525</xdr:rowOff>
    </xdr:to>
    <xdr:cxnSp macro="">
      <xdr:nvCxnSpPr>
        <xdr:cNvPr id="10" name="Straight Connector 9">
          <a:extLst>
            <a:ext uri="{FF2B5EF4-FFF2-40B4-BE49-F238E27FC236}">
              <a16:creationId xmlns:a16="http://schemas.microsoft.com/office/drawing/2014/main" id="{8EADE2DA-1073-4361-AB62-B0204B39D82C}"/>
            </a:ext>
          </a:extLst>
        </xdr:cNvPr>
        <xdr:cNvCxnSpPr/>
      </xdr:nvCxnSpPr>
      <xdr:spPr>
        <a:xfrm flipV="1">
          <a:off x="9077325" y="330200"/>
          <a:ext cx="4083050" cy="45942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0</xdr:colOff>
      <xdr:row>4</xdr:row>
      <xdr:rowOff>0</xdr:rowOff>
    </xdr:from>
    <xdr:to>
      <xdr:col>36</xdr:col>
      <xdr:colOff>704850</xdr:colOff>
      <xdr:row>27</xdr:row>
      <xdr:rowOff>180976</xdr:rowOff>
    </xdr:to>
    <xdr:cxnSp macro="">
      <xdr:nvCxnSpPr>
        <xdr:cNvPr id="11" name="Straight Connector 10">
          <a:extLst>
            <a:ext uri="{FF2B5EF4-FFF2-40B4-BE49-F238E27FC236}">
              <a16:creationId xmlns:a16="http://schemas.microsoft.com/office/drawing/2014/main" id="{9297D172-75CB-4D4B-9B29-DDC167090572}"/>
            </a:ext>
          </a:extLst>
        </xdr:cNvPr>
        <xdr:cNvCxnSpPr/>
      </xdr:nvCxnSpPr>
      <xdr:spPr>
        <a:xfrm flipV="1">
          <a:off x="9925050" y="342900"/>
          <a:ext cx="4076700" cy="456247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9525</xdr:colOff>
      <xdr:row>3</xdr:row>
      <xdr:rowOff>177800</xdr:rowOff>
    </xdr:from>
    <xdr:to>
      <xdr:col>39</xdr:col>
      <xdr:colOff>9525</xdr:colOff>
      <xdr:row>27</xdr:row>
      <xdr:rowOff>177800</xdr:rowOff>
    </xdr:to>
    <xdr:cxnSp macro="">
      <xdr:nvCxnSpPr>
        <xdr:cNvPr id="12" name="Straight Connector 11">
          <a:extLst>
            <a:ext uri="{FF2B5EF4-FFF2-40B4-BE49-F238E27FC236}">
              <a16:creationId xmlns:a16="http://schemas.microsoft.com/office/drawing/2014/main" id="{49BB807E-4941-45EA-8233-2B1181E6E5D6}"/>
            </a:ext>
          </a:extLst>
        </xdr:cNvPr>
        <xdr:cNvCxnSpPr/>
      </xdr:nvCxnSpPr>
      <xdr:spPr>
        <a:xfrm flipV="1">
          <a:off x="10782300" y="330200"/>
          <a:ext cx="4076700" cy="45720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0</xdr:colOff>
      <xdr:row>4</xdr:row>
      <xdr:rowOff>9525</xdr:rowOff>
    </xdr:from>
    <xdr:to>
      <xdr:col>40</xdr:col>
      <xdr:colOff>701675</xdr:colOff>
      <xdr:row>27</xdr:row>
      <xdr:rowOff>187325</xdr:rowOff>
    </xdr:to>
    <xdr:cxnSp macro="">
      <xdr:nvCxnSpPr>
        <xdr:cNvPr id="13" name="Straight Connector 12">
          <a:extLst>
            <a:ext uri="{FF2B5EF4-FFF2-40B4-BE49-F238E27FC236}">
              <a16:creationId xmlns:a16="http://schemas.microsoft.com/office/drawing/2014/main" id="{E84BCD12-8624-473B-ABD3-DA622A5C4824}"/>
            </a:ext>
          </a:extLst>
        </xdr:cNvPr>
        <xdr:cNvCxnSpPr/>
      </xdr:nvCxnSpPr>
      <xdr:spPr>
        <a:xfrm flipV="1">
          <a:off x="11620500" y="352425"/>
          <a:ext cx="4073525" cy="45593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0</xdr:colOff>
      <xdr:row>9</xdr:row>
      <xdr:rowOff>0</xdr:rowOff>
    </xdr:from>
    <xdr:to>
      <xdr:col>41</xdr:col>
      <xdr:colOff>0</xdr:colOff>
      <xdr:row>27</xdr:row>
      <xdr:rowOff>180975</xdr:rowOff>
    </xdr:to>
    <xdr:cxnSp macro="">
      <xdr:nvCxnSpPr>
        <xdr:cNvPr id="14" name="Straight Connector 13">
          <a:extLst>
            <a:ext uri="{FF2B5EF4-FFF2-40B4-BE49-F238E27FC236}">
              <a16:creationId xmlns:a16="http://schemas.microsoft.com/office/drawing/2014/main" id="{BA5F3841-929D-4B26-9E83-C20F6A0A0065}"/>
            </a:ext>
          </a:extLst>
        </xdr:cNvPr>
        <xdr:cNvCxnSpPr/>
      </xdr:nvCxnSpPr>
      <xdr:spPr>
        <a:xfrm flipV="1">
          <a:off x="12468225" y="1295400"/>
          <a:ext cx="3228975" cy="36099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161925</xdr:colOff>
      <xdr:row>14</xdr:row>
      <xdr:rowOff>9525</xdr:rowOff>
    </xdr:from>
    <xdr:to>
      <xdr:col>40</xdr:col>
      <xdr:colOff>692150</xdr:colOff>
      <xdr:row>28</xdr:row>
      <xdr:rowOff>0</xdr:rowOff>
    </xdr:to>
    <xdr:cxnSp macro="">
      <xdr:nvCxnSpPr>
        <xdr:cNvPr id="15" name="Straight Connector 14">
          <a:extLst>
            <a:ext uri="{FF2B5EF4-FFF2-40B4-BE49-F238E27FC236}">
              <a16:creationId xmlns:a16="http://schemas.microsoft.com/office/drawing/2014/main" id="{9E9F93A2-BF85-4A96-A78C-09B626B257CD}"/>
            </a:ext>
          </a:extLst>
        </xdr:cNvPr>
        <xdr:cNvCxnSpPr/>
      </xdr:nvCxnSpPr>
      <xdr:spPr>
        <a:xfrm flipV="1">
          <a:off x="13315950" y="2257425"/>
          <a:ext cx="2378075" cy="26574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161925</xdr:colOff>
      <xdr:row>18</xdr:row>
      <xdr:rowOff>168276</xdr:rowOff>
    </xdr:from>
    <xdr:to>
      <xdr:col>40</xdr:col>
      <xdr:colOff>711200</xdr:colOff>
      <xdr:row>28</xdr:row>
      <xdr:rowOff>0</xdr:rowOff>
    </xdr:to>
    <xdr:cxnSp macro="">
      <xdr:nvCxnSpPr>
        <xdr:cNvPr id="16" name="Straight Connector 15">
          <a:extLst>
            <a:ext uri="{FF2B5EF4-FFF2-40B4-BE49-F238E27FC236}">
              <a16:creationId xmlns:a16="http://schemas.microsoft.com/office/drawing/2014/main" id="{CFDB6678-C053-4C66-9F3D-B4F03EE9E3A2}"/>
            </a:ext>
          </a:extLst>
        </xdr:cNvPr>
        <xdr:cNvCxnSpPr/>
      </xdr:nvCxnSpPr>
      <xdr:spPr>
        <a:xfrm flipV="1">
          <a:off x="14163675" y="3178176"/>
          <a:ext cx="1530350" cy="173672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168275</xdr:colOff>
      <xdr:row>23</xdr:row>
      <xdr:rowOff>177800</xdr:rowOff>
    </xdr:from>
    <xdr:to>
      <xdr:col>41</xdr:col>
      <xdr:colOff>9525</xdr:colOff>
      <xdr:row>27</xdr:row>
      <xdr:rowOff>187325</xdr:rowOff>
    </xdr:to>
    <xdr:cxnSp macro="">
      <xdr:nvCxnSpPr>
        <xdr:cNvPr id="17" name="Straight Connector 16">
          <a:extLst>
            <a:ext uri="{FF2B5EF4-FFF2-40B4-BE49-F238E27FC236}">
              <a16:creationId xmlns:a16="http://schemas.microsoft.com/office/drawing/2014/main" id="{B7212037-9C39-4B12-B64B-E949C8CC5FA3}"/>
            </a:ext>
          </a:extLst>
        </xdr:cNvPr>
        <xdr:cNvCxnSpPr/>
      </xdr:nvCxnSpPr>
      <xdr:spPr>
        <a:xfrm flipV="1">
          <a:off x="15008225" y="4140200"/>
          <a:ext cx="698500" cy="7715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276225</xdr:colOff>
      <xdr:row>1</xdr:row>
      <xdr:rowOff>114300</xdr:rowOff>
    </xdr:from>
    <xdr:to>
      <xdr:col>4</xdr:col>
      <xdr:colOff>285750</xdr:colOff>
      <xdr:row>30</xdr:row>
      <xdr:rowOff>9527</xdr:rowOff>
    </xdr:to>
    <xdr:cxnSp macro="">
      <xdr:nvCxnSpPr>
        <xdr:cNvPr id="20" name="Straight Arrow Connector 19">
          <a:extLst>
            <a:ext uri="{FF2B5EF4-FFF2-40B4-BE49-F238E27FC236}">
              <a16:creationId xmlns:a16="http://schemas.microsoft.com/office/drawing/2014/main" id="{74726A84-2C5D-412F-AA1D-D925E5CD853D}"/>
            </a:ext>
          </a:extLst>
        </xdr:cNvPr>
        <xdr:cNvCxnSpPr/>
      </xdr:nvCxnSpPr>
      <xdr:spPr>
        <a:xfrm flipV="1">
          <a:off x="485775" y="114300"/>
          <a:ext cx="9525" cy="538162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112395</xdr:colOff>
      <xdr:row>29</xdr:row>
      <xdr:rowOff>11430</xdr:rowOff>
    </xdr:from>
    <xdr:to>
      <xdr:col>20</xdr:col>
      <xdr:colOff>152400</xdr:colOff>
      <xdr:row>29</xdr:row>
      <xdr:rowOff>11431</xdr:rowOff>
    </xdr:to>
    <xdr:cxnSp macro="">
      <xdr:nvCxnSpPr>
        <xdr:cNvPr id="23" name="Straight Arrow Connector 22">
          <a:extLst>
            <a:ext uri="{FF2B5EF4-FFF2-40B4-BE49-F238E27FC236}">
              <a16:creationId xmlns:a16="http://schemas.microsoft.com/office/drawing/2014/main" id="{2DB86B5A-9BFE-4636-A51D-70C393772708}"/>
            </a:ext>
          </a:extLst>
        </xdr:cNvPr>
        <xdr:cNvCxnSpPr/>
      </xdr:nvCxnSpPr>
      <xdr:spPr>
        <a:xfrm>
          <a:off x="1156335" y="5452110"/>
          <a:ext cx="6997065" cy="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152400</xdr:colOff>
      <xdr:row>1</xdr:row>
      <xdr:rowOff>104775</xdr:rowOff>
    </xdr:from>
    <xdr:to>
      <xdr:col>25</xdr:col>
      <xdr:colOff>161925</xdr:colOff>
      <xdr:row>30</xdr:row>
      <xdr:rowOff>2</xdr:rowOff>
    </xdr:to>
    <xdr:cxnSp macro="">
      <xdr:nvCxnSpPr>
        <xdr:cNvPr id="32" name="Straight Arrow Connector 31">
          <a:extLst>
            <a:ext uri="{FF2B5EF4-FFF2-40B4-BE49-F238E27FC236}">
              <a16:creationId xmlns:a16="http://schemas.microsoft.com/office/drawing/2014/main" id="{BB5B9145-2324-42D4-BD6B-37BD13E2E87A}"/>
            </a:ext>
          </a:extLst>
        </xdr:cNvPr>
        <xdr:cNvCxnSpPr/>
      </xdr:nvCxnSpPr>
      <xdr:spPr>
        <a:xfrm flipV="1">
          <a:off x="7962900" y="104775"/>
          <a:ext cx="9525" cy="538162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57150</xdr:colOff>
      <xdr:row>29</xdr:row>
      <xdr:rowOff>19050</xdr:rowOff>
    </xdr:from>
    <xdr:to>
      <xdr:col>42</xdr:col>
      <xdr:colOff>38100</xdr:colOff>
      <xdr:row>29</xdr:row>
      <xdr:rowOff>19051</xdr:rowOff>
    </xdr:to>
    <xdr:cxnSp macro="">
      <xdr:nvCxnSpPr>
        <xdr:cNvPr id="33" name="Straight Arrow Connector 32">
          <a:extLst>
            <a:ext uri="{FF2B5EF4-FFF2-40B4-BE49-F238E27FC236}">
              <a16:creationId xmlns:a16="http://schemas.microsoft.com/office/drawing/2014/main" id="{922DE4E0-01E3-4FC1-A46C-5E822D16402C}"/>
            </a:ext>
          </a:extLst>
        </xdr:cNvPr>
        <xdr:cNvCxnSpPr/>
      </xdr:nvCxnSpPr>
      <xdr:spPr>
        <a:xfrm>
          <a:off x="7867650" y="5314950"/>
          <a:ext cx="6972300" cy="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33340-2F73-4959-8102-54B5B5939F27}">
  <dimension ref="A1:AC878"/>
  <sheetViews>
    <sheetView topLeftCell="E1" zoomScale="96" workbookViewId="0">
      <selection activeCell="AC58" sqref="AC58"/>
    </sheetView>
  </sheetViews>
  <sheetFormatPr defaultRowHeight="14.4" x14ac:dyDescent="0.3"/>
  <cols>
    <col min="1" max="1" width="15" customWidth="1"/>
    <col min="7" max="7" width="14.21875" customWidth="1"/>
    <col min="13" max="13" width="16.77734375" customWidth="1"/>
  </cols>
  <sheetData>
    <row r="1" spans="1:29" x14ac:dyDescent="0.3">
      <c r="A1" t="s">
        <v>25</v>
      </c>
      <c r="B1" s="77"/>
      <c r="C1" s="77"/>
      <c r="D1" s="77"/>
      <c r="E1" s="77"/>
      <c r="F1" s="77"/>
      <c r="G1" s="77"/>
      <c r="H1" s="77"/>
      <c r="L1" s="78" t="s">
        <v>1110</v>
      </c>
      <c r="M1" s="79"/>
      <c r="N1" s="79"/>
      <c r="O1" s="79"/>
      <c r="P1" s="79"/>
      <c r="Q1" s="79"/>
      <c r="R1" s="79"/>
      <c r="S1" s="79"/>
      <c r="T1" s="79"/>
      <c r="U1" s="79"/>
      <c r="V1" s="79"/>
      <c r="W1" s="79"/>
      <c r="X1" s="79"/>
      <c r="Y1" s="79"/>
      <c r="Z1" s="79"/>
      <c r="AA1" s="79"/>
      <c r="AB1" s="79"/>
      <c r="AC1" s="79"/>
    </row>
    <row r="2" spans="1:29" x14ac:dyDescent="0.3">
      <c r="A2" t="s">
        <v>26</v>
      </c>
      <c r="B2" s="77"/>
      <c r="C2" s="77"/>
      <c r="D2" s="77"/>
      <c r="E2" s="77"/>
      <c r="F2" s="77"/>
      <c r="G2" s="77"/>
      <c r="H2" s="77"/>
      <c r="L2" s="78" t="s">
        <v>1111</v>
      </c>
      <c r="M2" s="79"/>
      <c r="N2" s="79"/>
      <c r="O2" s="79"/>
      <c r="P2" s="79"/>
      <c r="Q2" s="79"/>
      <c r="R2" s="79"/>
      <c r="S2" s="79"/>
      <c r="T2" s="79"/>
      <c r="U2" s="79"/>
      <c r="V2" s="79"/>
      <c r="W2" s="79"/>
      <c r="X2" s="79"/>
      <c r="Y2" s="79"/>
      <c r="Z2" s="79"/>
      <c r="AA2" s="79"/>
      <c r="AB2" s="79"/>
      <c r="AC2" s="79"/>
    </row>
    <row r="3" spans="1:29" x14ac:dyDescent="0.3">
      <c r="A3" t="s">
        <v>27</v>
      </c>
      <c r="B3" s="77"/>
      <c r="C3" s="77"/>
      <c r="D3" s="77"/>
      <c r="E3" s="77"/>
      <c r="F3" s="77"/>
      <c r="G3" s="77"/>
      <c r="H3" s="77"/>
      <c r="L3" s="78" t="s">
        <v>27</v>
      </c>
      <c r="M3" s="79"/>
      <c r="N3" s="79"/>
      <c r="O3" s="79"/>
      <c r="P3" s="79"/>
      <c r="Q3" s="79"/>
      <c r="R3" s="79"/>
      <c r="S3" s="79"/>
      <c r="T3" s="79"/>
      <c r="U3" s="79"/>
      <c r="V3" s="79"/>
      <c r="W3" s="79"/>
      <c r="X3" s="79"/>
      <c r="Y3" s="79"/>
      <c r="Z3" s="79"/>
      <c r="AA3" s="79"/>
      <c r="AB3" s="79"/>
      <c r="AC3" s="79"/>
    </row>
    <row r="4" spans="1:29" x14ac:dyDescent="0.3">
      <c r="A4" t="s">
        <v>28</v>
      </c>
      <c r="B4" s="77"/>
      <c r="C4" s="77"/>
      <c r="D4" s="77"/>
      <c r="E4" s="77"/>
      <c r="F4" s="77"/>
      <c r="G4" s="77"/>
      <c r="H4" s="77"/>
      <c r="L4" s="78" t="s">
        <v>1112</v>
      </c>
      <c r="M4" s="79"/>
      <c r="N4" s="79"/>
      <c r="O4" s="79"/>
      <c r="P4" s="79"/>
      <c r="Q4" s="79"/>
      <c r="R4" s="79"/>
      <c r="S4" s="79"/>
      <c r="T4" s="79"/>
      <c r="U4" s="79"/>
      <c r="V4" s="79"/>
      <c r="W4" s="79"/>
      <c r="X4" s="79"/>
      <c r="Y4" s="79"/>
      <c r="Z4" s="79"/>
      <c r="AA4" s="79"/>
      <c r="AB4" s="79"/>
      <c r="AC4" s="79"/>
    </row>
    <row r="5" spans="1:29" x14ac:dyDescent="0.3">
      <c r="B5" s="77"/>
      <c r="C5" s="77"/>
      <c r="D5" s="77"/>
      <c r="E5" s="77"/>
      <c r="F5" s="77"/>
      <c r="G5" s="77"/>
      <c r="H5" s="77"/>
      <c r="L5" s="78"/>
      <c r="M5" s="79"/>
      <c r="N5" s="79"/>
      <c r="O5" s="79"/>
      <c r="P5" s="79"/>
      <c r="Q5" s="79"/>
      <c r="R5" s="79"/>
      <c r="S5" s="79"/>
      <c r="T5" s="79"/>
      <c r="U5" s="79"/>
      <c r="V5" s="79"/>
      <c r="W5" s="79"/>
      <c r="X5" s="79"/>
      <c r="Y5" s="79"/>
      <c r="Z5" s="79"/>
      <c r="AA5" s="79"/>
      <c r="AB5" s="79"/>
      <c r="AC5" s="79"/>
    </row>
    <row r="6" spans="1:29" x14ac:dyDescent="0.3">
      <c r="A6" t="s">
        <v>27</v>
      </c>
      <c r="B6" s="77" t="s">
        <v>27</v>
      </c>
      <c r="C6" s="77" t="s">
        <v>27</v>
      </c>
      <c r="D6" s="77" t="s">
        <v>29</v>
      </c>
      <c r="E6" s="77" t="s">
        <v>30</v>
      </c>
      <c r="F6" s="77" t="s">
        <v>31</v>
      </c>
      <c r="G6" s="77" t="s">
        <v>32</v>
      </c>
      <c r="H6" s="77"/>
      <c r="L6" s="78" t="s">
        <v>27</v>
      </c>
      <c r="M6" s="79" t="s">
        <v>27</v>
      </c>
      <c r="N6" s="79" t="s">
        <v>116</v>
      </c>
      <c r="O6" s="79" t="s">
        <v>121</v>
      </c>
      <c r="P6" s="79" t="s">
        <v>125</v>
      </c>
      <c r="Q6" s="79" t="s">
        <v>129</v>
      </c>
      <c r="R6" s="79" t="s">
        <v>134</v>
      </c>
      <c r="S6" s="79" t="s">
        <v>138</v>
      </c>
      <c r="T6" s="79" t="s">
        <v>142</v>
      </c>
      <c r="U6" s="79" t="s">
        <v>147</v>
      </c>
      <c r="V6" s="79" t="s">
        <v>151</v>
      </c>
      <c r="W6" s="79" t="s">
        <v>155</v>
      </c>
      <c r="X6" s="79" t="s">
        <v>159</v>
      </c>
      <c r="Y6" s="79" t="s">
        <v>163</v>
      </c>
      <c r="Z6" s="79" t="s">
        <v>166</v>
      </c>
      <c r="AA6" s="79" t="s">
        <v>170</v>
      </c>
      <c r="AB6" s="79" t="s">
        <v>175</v>
      </c>
      <c r="AC6" s="79" t="s">
        <v>179</v>
      </c>
    </row>
    <row r="7" spans="1:29" x14ac:dyDescent="0.3">
      <c r="A7" t="s">
        <v>29</v>
      </c>
      <c r="B7" s="77" t="s">
        <v>33</v>
      </c>
      <c r="C7" s="77" t="s">
        <v>29</v>
      </c>
      <c r="D7" s="77" t="s">
        <v>34</v>
      </c>
      <c r="E7" s="77" t="s">
        <v>35</v>
      </c>
      <c r="F7" s="77" t="s">
        <v>36</v>
      </c>
      <c r="G7" s="77" t="s">
        <v>37</v>
      </c>
      <c r="H7" s="77"/>
      <c r="L7" s="78" t="s">
        <v>116</v>
      </c>
      <c r="M7" s="79" t="s">
        <v>29</v>
      </c>
      <c r="N7" s="83" t="s">
        <v>1113</v>
      </c>
      <c r="O7" s="79" t="s">
        <v>27</v>
      </c>
      <c r="P7" s="79" t="s">
        <v>27</v>
      </c>
      <c r="Q7" s="79" t="s">
        <v>27</v>
      </c>
      <c r="R7" s="79" t="s">
        <v>27</v>
      </c>
      <c r="S7" s="79" t="s">
        <v>27</v>
      </c>
      <c r="T7" s="79" t="s">
        <v>27</v>
      </c>
      <c r="U7" s="79" t="s">
        <v>27</v>
      </c>
      <c r="V7" s="79" t="s">
        <v>27</v>
      </c>
      <c r="W7" s="79" t="s">
        <v>27</v>
      </c>
      <c r="X7" s="79" t="s">
        <v>27</v>
      </c>
      <c r="Y7" s="79" t="s">
        <v>27</v>
      </c>
      <c r="Z7" s="79" t="s">
        <v>27</v>
      </c>
      <c r="AA7" s="79" t="s">
        <v>27</v>
      </c>
      <c r="AB7" s="79" t="s">
        <v>27</v>
      </c>
      <c r="AC7" s="79" t="s">
        <v>27</v>
      </c>
    </row>
    <row r="8" spans="1:29" x14ac:dyDescent="0.3">
      <c r="A8" t="s">
        <v>29</v>
      </c>
      <c r="B8" s="77" t="s">
        <v>38</v>
      </c>
      <c r="C8" s="77" t="s">
        <v>29</v>
      </c>
      <c r="D8" s="77" t="s">
        <v>39</v>
      </c>
      <c r="E8" s="77" t="s">
        <v>40</v>
      </c>
      <c r="F8" s="77" t="s">
        <v>41</v>
      </c>
      <c r="G8" s="77" t="s">
        <v>42</v>
      </c>
      <c r="H8" s="77"/>
      <c r="L8" s="78" t="s">
        <v>116</v>
      </c>
      <c r="M8" s="79" t="s">
        <v>30</v>
      </c>
      <c r="N8" s="79" t="s">
        <v>1114</v>
      </c>
      <c r="O8" s="79" t="s">
        <v>27</v>
      </c>
      <c r="P8" s="79" t="s">
        <v>27</v>
      </c>
      <c r="Q8" s="79" t="s">
        <v>27</v>
      </c>
      <c r="R8" s="79" t="s">
        <v>27</v>
      </c>
      <c r="S8" s="79" t="s">
        <v>27</v>
      </c>
      <c r="T8" s="79" t="s">
        <v>27</v>
      </c>
      <c r="U8" s="79" t="s">
        <v>27</v>
      </c>
      <c r="V8" s="79" t="s">
        <v>27</v>
      </c>
      <c r="W8" s="79" t="s">
        <v>27</v>
      </c>
      <c r="X8" s="79" t="s">
        <v>27</v>
      </c>
      <c r="Y8" s="79" t="s">
        <v>27</v>
      </c>
      <c r="Z8" s="79" t="s">
        <v>27</v>
      </c>
      <c r="AA8" s="79" t="s">
        <v>27</v>
      </c>
      <c r="AB8" s="79" t="s">
        <v>27</v>
      </c>
      <c r="AC8" s="79" t="s">
        <v>27</v>
      </c>
    </row>
    <row r="9" spans="1:29" x14ac:dyDescent="0.3">
      <c r="A9" t="s">
        <v>29</v>
      </c>
      <c r="B9" s="77" t="s">
        <v>43</v>
      </c>
      <c r="C9" s="77" t="s">
        <v>29</v>
      </c>
      <c r="D9" s="77" t="s">
        <v>44</v>
      </c>
      <c r="E9" s="77" t="s">
        <v>45</v>
      </c>
      <c r="F9" s="77" t="s">
        <v>46</v>
      </c>
      <c r="G9" s="77" t="s">
        <v>27</v>
      </c>
      <c r="H9" s="77"/>
      <c r="L9" s="78" t="s">
        <v>116</v>
      </c>
      <c r="M9" s="79" t="s">
        <v>31</v>
      </c>
      <c r="N9" s="79" t="s">
        <v>1115</v>
      </c>
      <c r="O9" s="79" t="s">
        <v>27</v>
      </c>
      <c r="P9" s="79" t="s">
        <v>27</v>
      </c>
      <c r="Q9" s="79" t="s">
        <v>27</v>
      </c>
      <c r="R9" s="79" t="s">
        <v>27</v>
      </c>
      <c r="S9" s="79" t="s">
        <v>27</v>
      </c>
      <c r="T9" s="79" t="s">
        <v>27</v>
      </c>
      <c r="U9" s="79" t="s">
        <v>27</v>
      </c>
      <c r="V9" s="79" t="s">
        <v>27</v>
      </c>
      <c r="W9" s="79" t="s">
        <v>27</v>
      </c>
      <c r="X9" s="79" t="s">
        <v>27</v>
      </c>
      <c r="Y9" s="79" t="s">
        <v>27</v>
      </c>
      <c r="Z9" s="79" t="s">
        <v>27</v>
      </c>
      <c r="AA9" s="79" t="s">
        <v>27</v>
      </c>
      <c r="AB9" s="79" t="s">
        <v>27</v>
      </c>
      <c r="AC9" s="79" t="s">
        <v>27</v>
      </c>
    </row>
    <row r="10" spans="1:29" x14ac:dyDescent="0.3">
      <c r="A10" t="s">
        <v>29</v>
      </c>
      <c r="B10" s="77" t="s">
        <v>47</v>
      </c>
      <c r="C10" s="77" t="s">
        <v>29</v>
      </c>
      <c r="D10" s="77" t="s">
        <v>48</v>
      </c>
      <c r="E10" s="77" t="s">
        <v>49</v>
      </c>
      <c r="F10" s="77" t="s">
        <v>50</v>
      </c>
      <c r="G10" s="77" t="s">
        <v>51</v>
      </c>
      <c r="H10" s="77"/>
      <c r="L10" s="78" t="s">
        <v>116</v>
      </c>
      <c r="M10" s="79" t="s">
        <v>32</v>
      </c>
      <c r="N10" s="79" t="s">
        <v>402</v>
      </c>
      <c r="O10" s="79" t="s">
        <v>27</v>
      </c>
      <c r="P10" s="79" t="s">
        <v>27</v>
      </c>
      <c r="Q10" s="79" t="s">
        <v>27</v>
      </c>
      <c r="R10" s="79" t="s">
        <v>27</v>
      </c>
      <c r="S10" s="79" t="s">
        <v>27</v>
      </c>
      <c r="T10" s="79" t="s">
        <v>27</v>
      </c>
      <c r="U10" s="79" t="s">
        <v>27</v>
      </c>
      <c r="V10" s="79" t="s">
        <v>27</v>
      </c>
      <c r="W10" s="79" t="s">
        <v>27</v>
      </c>
      <c r="X10" s="79" t="s">
        <v>27</v>
      </c>
      <c r="Y10" s="79" t="s">
        <v>27</v>
      </c>
      <c r="Z10" s="79" t="s">
        <v>27</v>
      </c>
      <c r="AA10" s="79" t="s">
        <v>27</v>
      </c>
      <c r="AB10" s="79" t="s">
        <v>27</v>
      </c>
      <c r="AC10" s="79" t="s">
        <v>27</v>
      </c>
    </row>
    <row r="11" spans="1:29" x14ac:dyDescent="0.3">
      <c r="A11" t="s">
        <v>29</v>
      </c>
      <c r="B11" s="77" t="s">
        <v>52</v>
      </c>
      <c r="C11" s="77" t="s">
        <v>29</v>
      </c>
      <c r="D11" s="77" t="s">
        <v>53</v>
      </c>
      <c r="E11" s="77" t="s">
        <v>54</v>
      </c>
      <c r="F11" s="77" t="s">
        <v>55</v>
      </c>
      <c r="G11" s="77" t="s">
        <v>56</v>
      </c>
      <c r="H11" s="77"/>
      <c r="L11" s="78" t="s">
        <v>121</v>
      </c>
      <c r="M11" s="79" t="s">
        <v>29</v>
      </c>
      <c r="N11" s="79" t="s">
        <v>1116</v>
      </c>
      <c r="O11" s="79" t="s">
        <v>1117</v>
      </c>
      <c r="P11" s="79" t="s">
        <v>27</v>
      </c>
      <c r="Q11" s="79" t="s">
        <v>27</v>
      </c>
      <c r="R11" s="79" t="s">
        <v>27</v>
      </c>
      <c r="S11" s="79" t="s">
        <v>27</v>
      </c>
      <c r="T11" s="79" t="s">
        <v>27</v>
      </c>
      <c r="U11" s="79" t="s">
        <v>27</v>
      </c>
      <c r="V11" s="79"/>
      <c r="W11" s="79" t="s">
        <v>27</v>
      </c>
      <c r="X11" s="79" t="s">
        <v>27</v>
      </c>
      <c r="Y11" s="79" t="s">
        <v>27</v>
      </c>
      <c r="Z11" s="79" t="s">
        <v>27</v>
      </c>
      <c r="AA11" s="79" t="s">
        <v>27</v>
      </c>
      <c r="AB11" s="79" t="s">
        <v>27</v>
      </c>
      <c r="AC11" s="79" t="s">
        <v>27</v>
      </c>
    </row>
    <row r="12" spans="1:29" x14ac:dyDescent="0.3">
      <c r="A12" t="s">
        <v>29</v>
      </c>
      <c r="B12" s="77" t="s">
        <v>57</v>
      </c>
      <c r="C12" s="77" t="s">
        <v>29</v>
      </c>
      <c r="D12" s="77" t="s">
        <v>58</v>
      </c>
      <c r="E12" s="77" t="s">
        <v>59</v>
      </c>
      <c r="F12" s="77" t="s">
        <v>60</v>
      </c>
      <c r="G12" s="77" t="s">
        <v>61</v>
      </c>
      <c r="H12" s="77"/>
      <c r="L12" s="78" t="s">
        <v>121</v>
      </c>
      <c r="M12" s="79" t="s">
        <v>30</v>
      </c>
      <c r="N12" s="79" t="s">
        <v>1118</v>
      </c>
      <c r="O12" s="79" t="s">
        <v>1119</v>
      </c>
      <c r="P12" s="79" t="s">
        <v>27</v>
      </c>
      <c r="Q12" s="79" t="s">
        <v>27</v>
      </c>
      <c r="R12" s="79" t="s">
        <v>27</v>
      </c>
      <c r="S12" s="79" t="s">
        <v>27</v>
      </c>
      <c r="T12" s="79" t="s">
        <v>27</v>
      </c>
      <c r="U12" s="79" t="s">
        <v>27</v>
      </c>
      <c r="V12" s="79" t="s">
        <v>27</v>
      </c>
      <c r="W12" s="79" t="s">
        <v>27</v>
      </c>
      <c r="X12" s="79" t="s">
        <v>27</v>
      </c>
      <c r="Y12" s="79" t="s">
        <v>27</v>
      </c>
      <c r="Z12" s="79" t="s">
        <v>27</v>
      </c>
      <c r="AA12" s="79" t="s">
        <v>27</v>
      </c>
      <c r="AB12" s="79" t="s">
        <v>27</v>
      </c>
      <c r="AC12" s="79" t="s">
        <v>27</v>
      </c>
    </row>
    <row r="13" spans="1:29" x14ac:dyDescent="0.3">
      <c r="A13" t="s">
        <v>29</v>
      </c>
      <c r="B13" s="77" t="s">
        <v>62</v>
      </c>
      <c r="C13" s="77" t="s">
        <v>29</v>
      </c>
      <c r="D13" s="77" t="s">
        <v>63</v>
      </c>
      <c r="E13" s="77" t="s">
        <v>64</v>
      </c>
      <c r="F13" s="77" t="s">
        <v>65</v>
      </c>
      <c r="G13" s="77" t="s">
        <v>27</v>
      </c>
      <c r="H13" s="77"/>
      <c r="L13" s="78" t="s">
        <v>121</v>
      </c>
      <c r="M13" s="79" t="s">
        <v>31</v>
      </c>
      <c r="N13" s="79" t="s">
        <v>1120</v>
      </c>
      <c r="O13" s="79" t="s">
        <v>1121</v>
      </c>
      <c r="P13" s="79" t="s">
        <v>27</v>
      </c>
      <c r="Q13" s="79" t="s">
        <v>27</v>
      </c>
      <c r="R13" s="79" t="s">
        <v>27</v>
      </c>
      <c r="S13" s="79" t="s">
        <v>27</v>
      </c>
      <c r="T13" s="79" t="s">
        <v>27</v>
      </c>
      <c r="U13" s="79" t="s">
        <v>27</v>
      </c>
      <c r="V13" s="79" t="s">
        <v>27</v>
      </c>
      <c r="W13" s="79" t="s">
        <v>27</v>
      </c>
      <c r="X13" s="79" t="s">
        <v>27</v>
      </c>
      <c r="Y13" s="79" t="s">
        <v>27</v>
      </c>
      <c r="Z13" s="79" t="s">
        <v>27</v>
      </c>
      <c r="AA13" s="79" t="s">
        <v>27</v>
      </c>
      <c r="AB13" s="79" t="s">
        <v>27</v>
      </c>
      <c r="AC13" s="79" t="s">
        <v>27</v>
      </c>
    </row>
    <row r="14" spans="1:29" x14ac:dyDescent="0.3">
      <c r="A14" t="s">
        <v>29</v>
      </c>
      <c r="B14" s="77" t="s">
        <v>66</v>
      </c>
      <c r="C14" s="77" t="s">
        <v>29</v>
      </c>
      <c r="D14" s="77" t="s">
        <v>67</v>
      </c>
      <c r="E14" s="77" t="s">
        <v>68</v>
      </c>
      <c r="F14" s="77" t="s">
        <v>69</v>
      </c>
      <c r="G14" s="77" t="s">
        <v>27</v>
      </c>
      <c r="H14" s="77"/>
      <c r="L14" s="78" t="s">
        <v>125</v>
      </c>
      <c r="M14" s="79" t="s">
        <v>29</v>
      </c>
      <c r="N14" s="79" t="s">
        <v>1122</v>
      </c>
      <c r="O14" s="79" t="s">
        <v>1123</v>
      </c>
      <c r="P14" s="79" t="s">
        <v>1124</v>
      </c>
      <c r="Q14" s="79" t="s">
        <v>27</v>
      </c>
      <c r="R14" s="79" t="s">
        <v>27</v>
      </c>
      <c r="S14" s="79" t="s">
        <v>27</v>
      </c>
      <c r="T14" s="79" t="s">
        <v>27</v>
      </c>
      <c r="U14" s="79" t="s">
        <v>27</v>
      </c>
      <c r="V14" s="79" t="s">
        <v>27</v>
      </c>
      <c r="W14" s="79" t="s">
        <v>27</v>
      </c>
      <c r="X14" s="79" t="s">
        <v>27</v>
      </c>
      <c r="Y14" s="79" t="s">
        <v>27</v>
      </c>
      <c r="Z14" s="79" t="s">
        <v>27</v>
      </c>
      <c r="AA14" s="79" t="s">
        <v>27</v>
      </c>
      <c r="AB14" s="79" t="s">
        <v>27</v>
      </c>
      <c r="AC14" s="79" t="s">
        <v>27</v>
      </c>
    </row>
    <row r="15" spans="1:29" x14ac:dyDescent="0.3">
      <c r="A15" t="s">
        <v>29</v>
      </c>
      <c r="B15" s="77" t="s">
        <v>70</v>
      </c>
      <c r="C15" s="77" t="s">
        <v>29</v>
      </c>
      <c r="D15" s="77" t="s">
        <v>71</v>
      </c>
      <c r="E15" s="77" t="s">
        <v>72</v>
      </c>
      <c r="F15" s="77" t="s">
        <v>73</v>
      </c>
      <c r="G15" s="77" t="s">
        <v>74</v>
      </c>
      <c r="H15" s="77"/>
      <c r="L15" s="78" t="s">
        <v>125</v>
      </c>
      <c r="M15" s="79" t="s">
        <v>30</v>
      </c>
      <c r="N15" s="79" t="s">
        <v>956</v>
      </c>
      <c r="O15" s="79" t="s">
        <v>1125</v>
      </c>
      <c r="P15" s="79" t="s">
        <v>1126</v>
      </c>
      <c r="Q15" s="79" t="s">
        <v>27</v>
      </c>
      <c r="R15" s="79" t="s">
        <v>27</v>
      </c>
      <c r="S15" s="79" t="s">
        <v>27</v>
      </c>
      <c r="T15" s="79" t="s">
        <v>27</v>
      </c>
      <c r="U15" s="79" t="s">
        <v>27</v>
      </c>
      <c r="V15" s="79" t="s">
        <v>27</v>
      </c>
      <c r="W15" s="79" t="s">
        <v>27</v>
      </c>
      <c r="X15" s="79" t="s">
        <v>27</v>
      </c>
      <c r="Y15" s="79" t="s">
        <v>27</v>
      </c>
      <c r="Z15" s="79" t="s">
        <v>27</v>
      </c>
      <c r="AA15" s="79" t="s">
        <v>27</v>
      </c>
      <c r="AB15" s="79" t="s">
        <v>27</v>
      </c>
      <c r="AC15" s="79" t="s">
        <v>27</v>
      </c>
    </row>
    <row r="16" spans="1:29" x14ac:dyDescent="0.3">
      <c r="A16" t="s">
        <v>29</v>
      </c>
      <c r="B16" s="77" t="s">
        <v>75</v>
      </c>
      <c r="C16" s="77" t="s">
        <v>29</v>
      </c>
      <c r="D16" s="77" t="s">
        <v>76</v>
      </c>
      <c r="E16" s="77" t="s">
        <v>77</v>
      </c>
      <c r="F16" s="77" t="s">
        <v>78</v>
      </c>
      <c r="G16" s="77" t="s">
        <v>74</v>
      </c>
      <c r="H16" s="77"/>
      <c r="L16" s="78" t="s">
        <v>125</v>
      </c>
      <c r="M16" s="79" t="s">
        <v>31</v>
      </c>
      <c r="N16" s="79" t="s">
        <v>754</v>
      </c>
      <c r="O16" s="79" t="s">
        <v>1127</v>
      </c>
      <c r="P16" s="79" t="s">
        <v>1128</v>
      </c>
      <c r="Q16" s="79" t="s">
        <v>27</v>
      </c>
      <c r="R16" s="79" t="s">
        <v>27</v>
      </c>
      <c r="S16" s="79" t="s">
        <v>27</v>
      </c>
      <c r="T16" s="79" t="s">
        <v>27</v>
      </c>
      <c r="U16" s="79" t="s">
        <v>27</v>
      </c>
      <c r="V16" s="79" t="s">
        <v>27</v>
      </c>
      <c r="W16" s="79" t="s">
        <v>27</v>
      </c>
      <c r="X16" s="79" t="s">
        <v>27</v>
      </c>
      <c r="Y16" s="79" t="s">
        <v>27</v>
      </c>
      <c r="Z16" s="79" t="s">
        <v>27</v>
      </c>
      <c r="AA16" s="79" t="s">
        <v>27</v>
      </c>
      <c r="AB16" s="79" t="s">
        <v>27</v>
      </c>
      <c r="AC16" s="79" t="s">
        <v>27</v>
      </c>
    </row>
    <row r="17" spans="1:29" x14ac:dyDescent="0.3">
      <c r="A17" t="s">
        <v>29</v>
      </c>
      <c r="B17" s="77" t="s">
        <v>79</v>
      </c>
      <c r="C17" s="77" t="s">
        <v>29</v>
      </c>
      <c r="D17" s="77" t="s">
        <v>80</v>
      </c>
      <c r="E17" s="77" t="s">
        <v>81</v>
      </c>
      <c r="F17" s="77" t="s">
        <v>82</v>
      </c>
      <c r="G17" s="77" t="s">
        <v>56</v>
      </c>
      <c r="H17" s="77"/>
      <c r="L17" s="78" t="s">
        <v>125</v>
      </c>
      <c r="M17" s="79" t="s">
        <v>32</v>
      </c>
      <c r="N17" s="79" t="s">
        <v>27</v>
      </c>
      <c r="O17" s="79" t="s">
        <v>27</v>
      </c>
      <c r="P17" s="79" t="s">
        <v>51</v>
      </c>
      <c r="Q17" s="79" t="s">
        <v>27</v>
      </c>
      <c r="R17" s="79" t="s">
        <v>27</v>
      </c>
      <c r="S17" s="79" t="s">
        <v>27</v>
      </c>
      <c r="T17" s="79" t="s">
        <v>27</v>
      </c>
      <c r="U17" s="79" t="s">
        <v>27</v>
      </c>
      <c r="V17" s="79" t="s">
        <v>27</v>
      </c>
      <c r="W17" s="79" t="s">
        <v>27</v>
      </c>
      <c r="X17" s="79" t="s">
        <v>27</v>
      </c>
      <c r="Y17" s="79" t="s">
        <v>27</v>
      </c>
      <c r="Z17" s="79" t="s">
        <v>27</v>
      </c>
      <c r="AA17" s="79" t="s">
        <v>27</v>
      </c>
      <c r="AB17" s="79" t="s">
        <v>27</v>
      </c>
      <c r="AC17" s="79" t="s">
        <v>27</v>
      </c>
    </row>
    <row r="18" spans="1:29" x14ac:dyDescent="0.3">
      <c r="A18" t="s">
        <v>29</v>
      </c>
      <c r="B18" s="77" t="s">
        <v>83</v>
      </c>
      <c r="C18" s="77" t="s">
        <v>29</v>
      </c>
      <c r="D18" s="77" t="s">
        <v>84</v>
      </c>
      <c r="E18" s="77" t="s">
        <v>85</v>
      </c>
      <c r="F18" s="77" t="s">
        <v>86</v>
      </c>
      <c r="G18" s="77" t="s">
        <v>87</v>
      </c>
      <c r="H18" s="77"/>
      <c r="L18" s="78" t="s">
        <v>129</v>
      </c>
      <c r="M18" s="79" t="s">
        <v>29</v>
      </c>
      <c r="N18" s="79" t="s">
        <v>1129</v>
      </c>
      <c r="O18" s="79" t="s">
        <v>1130</v>
      </c>
      <c r="P18" s="79" t="s">
        <v>1131</v>
      </c>
      <c r="Q18" s="79" t="s">
        <v>1132</v>
      </c>
      <c r="R18" s="79" t="s">
        <v>27</v>
      </c>
      <c r="S18" s="79" t="s">
        <v>27</v>
      </c>
      <c r="T18" s="79" t="s">
        <v>27</v>
      </c>
      <c r="U18" s="79" t="s">
        <v>27</v>
      </c>
      <c r="V18" s="79" t="s">
        <v>27</v>
      </c>
      <c r="W18" s="79" t="s">
        <v>27</v>
      </c>
      <c r="X18" s="79" t="s">
        <v>27</v>
      </c>
      <c r="Y18" s="79" t="s">
        <v>27</v>
      </c>
      <c r="Z18" s="79" t="s">
        <v>27</v>
      </c>
      <c r="AA18" s="79" t="s">
        <v>27</v>
      </c>
      <c r="AB18" s="79" t="s">
        <v>27</v>
      </c>
      <c r="AC18" s="79" t="s">
        <v>27</v>
      </c>
    </row>
    <row r="19" spans="1:29" x14ac:dyDescent="0.3">
      <c r="A19" t="s">
        <v>29</v>
      </c>
      <c r="B19" s="77" t="s">
        <v>88</v>
      </c>
      <c r="C19" s="77" t="s">
        <v>29</v>
      </c>
      <c r="D19" s="77" t="s">
        <v>89</v>
      </c>
      <c r="E19" s="77" t="s">
        <v>90</v>
      </c>
      <c r="F19" s="77" t="s">
        <v>91</v>
      </c>
      <c r="G19" s="77" t="s">
        <v>74</v>
      </c>
      <c r="H19" s="77"/>
      <c r="L19" s="78" t="s">
        <v>129</v>
      </c>
      <c r="M19" s="79" t="s">
        <v>30</v>
      </c>
      <c r="N19" s="79" t="s">
        <v>563</v>
      </c>
      <c r="O19" s="79" t="s">
        <v>1133</v>
      </c>
      <c r="P19" s="79" t="s">
        <v>1134</v>
      </c>
      <c r="Q19" s="79" t="s">
        <v>1135</v>
      </c>
      <c r="R19" s="79" t="s">
        <v>27</v>
      </c>
      <c r="S19" s="79" t="s">
        <v>27</v>
      </c>
      <c r="T19" s="79" t="s">
        <v>27</v>
      </c>
      <c r="U19" s="79" t="s">
        <v>27</v>
      </c>
      <c r="V19" s="79" t="s">
        <v>27</v>
      </c>
      <c r="W19" s="79" t="s">
        <v>27</v>
      </c>
      <c r="X19" s="79" t="s">
        <v>27</v>
      </c>
      <c r="Y19" s="79" t="s">
        <v>27</v>
      </c>
      <c r="Z19" s="79" t="s">
        <v>27</v>
      </c>
      <c r="AA19" s="79" t="s">
        <v>27</v>
      </c>
      <c r="AB19" s="79" t="s">
        <v>27</v>
      </c>
      <c r="AC19" s="79" t="s">
        <v>27</v>
      </c>
    </row>
    <row r="20" spans="1:29" x14ac:dyDescent="0.3">
      <c r="A20" t="s">
        <v>29</v>
      </c>
      <c r="B20" s="77" t="s">
        <v>92</v>
      </c>
      <c r="C20" s="77" t="s">
        <v>29</v>
      </c>
      <c r="D20" s="77" t="s">
        <v>93</v>
      </c>
      <c r="E20" s="77" t="s">
        <v>94</v>
      </c>
      <c r="F20" s="77" t="s">
        <v>95</v>
      </c>
      <c r="G20" s="77" t="s">
        <v>74</v>
      </c>
      <c r="H20" s="77"/>
      <c r="L20" s="78" t="s">
        <v>129</v>
      </c>
      <c r="M20" s="79" t="s">
        <v>31</v>
      </c>
      <c r="N20" s="79" t="s">
        <v>585</v>
      </c>
      <c r="O20" s="79" t="s">
        <v>853</v>
      </c>
      <c r="P20" s="79" t="s">
        <v>1136</v>
      </c>
      <c r="Q20" s="79" t="s">
        <v>1137</v>
      </c>
      <c r="R20" s="79" t="s">
        <v>27</v>
      </c>
      <c r="S20" s="79" t="s">
        <v>27</v>
      </c>
      <c r="T20" s="79" t="s">
        <v>27</v>
      </c>
      <c r="U20" s="79" t="s">
        <v>27</v>
      </c>
      <c r="V20" s="79" t="s">
        <v>27</v>
      </c>
      <c r="W20" s="79" t="s">
        <v>27</v>
      </c>
      <c r="X20" s="79" t="s">
        <v>27</v>
      </c>
      <c r="Y20" s="79" t="s">
        <v>27</v>
      </c>
      <c r="Z20" s="79" t="s">
        <v>27</v>
      </c>
      <c r="AA20" s="79" t="s">
        <v>27</v>
      </c>
      <c r="AB20" s="79" t="s">
        <v>27</v>
      </c>
      <c r="AC20" s="79" t="s">
        <v>27</v>
      </c>
    </row>
    <row r="21" spans="1:29" x14ac:dyDescent="0.3">
      <c r="A21" t="s">
        <v>29</v>
      </c>
      <c r="B21" s="77" t="s">
        <v>96</v>
      </c>
      <c r="C21" s="77" t="s">
        <v>29</v>
      </c>
      <c r="D21" s="77" t="s">
        <v>97</v>
      </c>
      <c r="E21" s="77" t="s">
        <v>98</v>
      </c>
      <c r="F21" s="77" t="s">
        <v>99</v>
      </c>
      <c r="G21" s="77" t="s">
        <v>56</v>
      </c>
      <c r="H21" s="77"/>
      <c r="L21" s="78" t="s">
        <v>129</v>
      </c>
      <c r="M21" s="79" t="s">
        <v>32</v>
      </c>
      <c r="N21" s="79" t="s">
        <v>74</v>
      </c>
      <c r="O21" s="79" t="s">
        <v>27</v>
      </c>
      <c r="P21" s="79" t="s">
        <v>74</v>
      </c>
      <c r="Q21" s="79" t="s">
        <v>397</v>
      </c>
      <c r="R21" s="79" t="s">
        <v>27</v>
      </c>
      <c r="S21" s="79" t="s">
        <v>27</v>
      </c>
      <c r="T21" s="79" t="s">
        <v>27</v>
      </c>
      <c r="U21" s="79" t="s">
        <v>27</v>
      </c>
      <c r="V21" s="79" t="s">
        <v>27</v>
      </c>
      <c r="W21" s="79" t="s">
        <v>27</v>
      </c>
      <c r="X21" s="79" t="s">
        <v>27</v>
      </c>
      <c r="Y21" s="79" t="s">
        <v>27</v>
      </c>
      <c r="Z21" s="79" t="s">
        <v>27</v>
      </c>
      <c r="AA21" s="79" t="s">
        <v>27</v>
      </c>
      <c r="AB21" s="79" t="s">
        <v>27</v>
      </c>
      <c r="AC21" s="79" t="s">
        <v>27</v>
      </c>
    </row>
    <row r="22" spans="1:29" x14ac:dyDescent="0.3">
      <c r="A22" t="s">
        <v>29</v>
      </c>
      <c r="B22" s="77" t="s">
        <v>100</v>
      </c>
      <c r="C22" s="77" t="s">
        <v>29</v>
      </c>
      <c r="D22" s="77" t="s">
        <v>101</v>
      </c>
      <c r="E22" s="77" t="s">
        <v>102</v>
      </c>
      <c r="F22" s="77" t="s">
        <v>103</v>
      </c>
      <c r="G22" s="77" t="s">
        <v>42</v>
      </c>
      <c r="H22" s="77"/>
      <c r="L22" s="78" t="s">
        <v>134</v>
      </c>
      <c r="M22" s="79" t="s">
        <v>29</v>
      </c>
      <c r="N22" s="79" t="s">
        <v>703</v>
      </c>
      <c r="O22" s="79" t="s">
        <v>1138</v>
      </c>
      <c r="P22" s="79" t="s">
        <v>1139</v>
      </c>
      <c r="Q22" s="79" t="s">
        <v>1140</v>
      </c>
      <c r="R22" s="79" t="s">
        <v>1141</v>
      </c>
      <c r="S22" s="79" t="s">
        <v>27</v>
      </c>
      <c r="T22" s="79" t="s">
        <v>27</v>
      </c>
      <c r="U22" s="79" t="s">
        <v>27</v>
      </c>
      <c r="V22" s="79" t="s">
        <v>27</v>
      </c>
      <c r="W22" s="79" t="s">
        <v>27</v>
      </c>
      <c r="X22" s="79" t="s">
        <v>27</v>
      </c>
      <c r="Y22" s="79" t="s">
        <v>27</v>
      </c>
      <c r="Z22" s="79" t="s">
        <v>27</v>
      </c>
      <c r="AA22" s="79" t="s">
        <v>27</v>
      </c>
      <c r="AB22" s="79" t="s">
        <v>27</v>
      </c>
      <c r="AC22" s="79" t="s">
        <v>27</v>
      </c>
    </row>
    <row r="23" spans="1:29" x14ac:dyDescent="0.3">
      <c r="A23" t="s">
        <v>29</v>
      </c>
      <c r="B23" s="77" t="s">
        <v>104</v>
      </c>
      <c r="C23" s="77" t="s">
        <v>29</v>
      </c>
      <c r="D23" s="77" t="s">
        <v>105</v>
      </c>
      <c r="E23" s="77" t="s">
        <v>106</v>
      </c>
      <c r="F23" s="77" t="s">
        <v>107</v>
      </c>
      <c r="G23" s="77" t="s">
        <v>27</v>
      </c>
      <c r="H23" s="77"/>
      <c r="L23" s="78" t="s">
        <v>134</v>
      </c>
      <c r="M23" s="79" t="s">
        <v>30</v>
      </c>
      <c r="N23" s="79" t="s">
        <v>595</v>
      </c>
      <c r="O23" s="79" t="s">
        <v>208</v>
      </c>
      <c r="P23" s="79" t="s">
        <v>740</v>
      </c>
      <c r="Q23" s="79" t="s">
        <v>1134</v>
      </c>
      <c r="R23" s="79" t="s">
        <v>1142</v>
      </c>
      <c r="S23" s="79" t="s">
        <v>27</v>
      </c>
      <c r="T23" s="79" t="s">
        <v>27</v>
      </c>
      <c r="U23" s="79" t="s">
        <v>27</v>
      </c>
      <c r="V23" s="79" t="s">
        <v>27</v>
      </c>
      <c r="W23" s="79" t="s">
        <v>27</v>
      </c>
      <c r="X23" s="79" t="s">
        <v>27</v>
      </c>
      <c r="Y23" s="79" t="s">
        <v>27</v>
      </c>
      <c r="Z23" s="79" t="s">
        <v>27</v>
      </c>
      <c r="AA23" s="79" t="s">
        <v>27</v>
      </c>
      <c r="AB23" s="79" t="s">
        <v>27</v>
      </c>
      <c r="AC23" s="79" t="s">
        <v>27</v>
      </c>
    </row>
    <row r="24" spans="1:29" x14ac:dyDescent="0.3">
      <c r="A24" t="s">
        <v>29</v>
      </c>
      <c r="B24" s="77" t="s">
        <v>108</v>
      </c>
      <c r="C24" s="77" t="s">
        <v>29</v>
      </c>
      <c r="D24" s="77" t="s">
        <v>109</v>
      </c>
      <c r="E24" s="77" t="s">
        <v>110</v>
      </c>
      <c r="F24" s="77" t="s">
        <v>111</v>
      </c>
      <c r="G24" s="77" t="s">
        <v>27</v>
      </c>
      <c r="H24" s="77"/>
      <c r="L24" s="78" t="s">
        <v>134</v>
      </c>
      <c r="M24" s="79" t="s">
        <v>31</v>
      </c>
      <c r="N24" s="79" t="s">
        <v>251</v>
      </c>
      <c r="O24" s="79" t="s">
        <v>208</v>
      </c>
      <c r="P24" s="79" t="s">
        <v>703</v>
      </c>
      <c r="Q24" s="79" t="s">
        <v>1143</v>
      </c>
      <c r="R24" s="79" t="s">
        <v>1144</v>
      </c>
      <c r="S24" s="79" t="s">
        <v>27</v>
      </c>
      <c r="T24" s="79" t="s">
        <v>27</v>
      </c>
      <c r="U24" s="79" t="s">
        <v>27</v>
      </c>
      <c r="V24" s="79" t="s">
        <v>27</v>
      </c>
      <c r="W24" s="79" t="s">
        <v>27</v>
      </c>
      <c r="X24" s="79" t="s">
        <v>27</v>
      </c>
      <c r="Y24" s="79" t="s">
        <v>27</v>
      </c>
      <c r="Z24" s="79" t="s">
        <v>27</v>
      </c>
      <c r="AA24" s="79" t="s">
        <v>27</v>
      </c>
      <c r="AB24" s="79" t="s">
        <v>27</v>
      </c>
      <c r="AC24" s="79" t="s">
        <v>27</v>
      </c>
    </row>
    <row r="25" spans="1:29" x14ac:dyDescent="0.3">
      <c r="A25" t="s">
        <v>29</v>
      </c>
      <c r="B25" s="77" t="s">
        <v>112</v>
      </c>
      <c r="C25" s="77" t="s">
        <v>29</v>
      </c>
      <c r="D25" s="77" t="s">
        <v>113</v>
      </c>
      <c r="E25" s="77" t="s">
        <v>114</v>
      </c>
      <c r="F25" s="77" t="s">
        <v>115</v>
      </c>
      <c r="G25" s="77" t="s">
        <v>56</v>
      </c>
      <c r="H25" s="77"/>
      <c r="L25" s="78" t="s">
        <v>134</v>
      </c>
      <c r="M25" s="79" t="s">
        <v>32</v>
      </c>
      <c r="N25" s="79" t="s">
        <v>27</v>
      </c>
      <c r="O25" s="79" t="s">
        <v>27</v>
      </c>
      <c r="P25" s="79" t="s">
        <v>27</v>
      </c>
      <c r="Q25" s="79" t="s">
        <v>27</v>
      </c>
      <c r="R25" s="79" t="s">
        <v>187</v>
      </c>
      <c r="S25" s="79" t="s">
        <v>27</v>
      </c>
      <c r="T25" s="79" t="s">
        <v>27</v>
      </c>
      <c r="U25" s="79" t="s">
        <v>27</v>
      </c>
      <c r="V25" s="79" t="s">
        <v>27</v>
      </c>
      <c r="W25" s="79" t="s">
        <v>27</v>
      </c>
      <c r="X25" s="79" t="s">
        <v>27</v>
      </c>
      <c r="Y25" s="79" t="s">
        <v>27</v>
      </c>
      <c r="Z25" s="79" t="s">
        <v>27</v>
      </c>
      <c r="AA25" s="79" t="s">
        <v>27</v>
      </c>
      <c r="AB25" s="79" t="s">
        <v>27</v>
      </c>
      <c r="AC25" s="79" t="s">
        <v>27</v>
      </c>
    </row>
    <row r="26" spans="1:29" x14ac:dyDescent="0.3">
      <c r="A26" t="s">
        <v>29</v>
      </c>
      <c r="B26" s="77" t="s">
        <v>116</v>
      </c>
      <c r="C26" s="77" t="s">
        <v>29</v>
      </c>
      <c r="D26" s="77" t="s">
        <v>117</v>
      </c>
      <c r="E26" s="77" t="s">
        <v>118</v>
      </c>
      <c r="F26" s="77" t="s">
        <v>119</v>
      </c>
      <c r="G26" s="77" t="s">
        <v>120</v>
      </c>
      <c r="H26" s="77"/>
      <c r="L26" s="78" t="s">
        <v>138</v>
      </c>
      <c r="M26" s="79" t="s">
        <v>29</v>
      </c>
      <c r="N26" s="79" t="s">
        <v>511</v>
      </c>
      <c r="O26" s="79" t="s">
        <v>709</v>
      </c>
      <c r="P26" s="79" t="s">
        <v>233</v>
      </c>
      <c r="Q26" s="79" t="s">
        <v>212</v>
      </c>
      <c r="R26" s="79" t="s">
        <v>1145</v>
      </c>
      <c r="S26" s="79" t="s">
        <v>1146</v>
      </c>
      <c r="T26" s="79" t="s">
        <v>27</v>
      </c>
      <c r="U26" s="79" t="s">
        <v>27</v>
      </c>
      <c r="V26" s="79" t="s">
        <v>27</v>
      </c>
      <c r="W26" s="79" t="s">
        <v>27</v>
      </c>
      <c r="X26" s="79" t="s">
        <v>27</v>
      </c>
      <c r="Y26" s="79" t="s">
        <v>27</v>
      </c>
      <c r="Z26" s="79" t="s">
        <v>27</v>
      </c>
      <c r="AA26" s="79" t="s">
        <v>27</v>
      </c>
      <c r="AB26" s="79" t="s">
        <v>27</v>
      </c>
      <c r="AC26" s="79" t="s">
        <v>27</v>
      </c>
    </row>
    <row r="27" spans="1:29" x14ac:dyDescent="0.3">
      <c r="A27" t="s">
        <v>29</v>
      </c>
      <c r="B27" s="77" t="s">
        <v>121</v>
      </c>
      <c r="C27" s="77" t="s">
        <v>29</v>
      </c>
      <c r="D27" s="77" t="s">
        <v>122</v>
      </c>
      <c r="E27" s="77" t="s">
        <v>123</v>
      </c>
      <c r="F27" s="77" t="s">
        <v>124</v>
      </c>
      <c r="G27" s="77" t="s">
        <v>56</v>
      </c>
      <c r="H27" s="77"/>
      <c r="L27" s="78" t="s">
        <v>138</v>
      </c>
      <c r="M27" s="79" t="s">
        <v>30</v>
      </c>
      <c r="N27" s="79" t="s">
        <v>337</v>
      </c>
      <c r="O27" s="79" t="s">
        <v>559</v>
      </c>
      <c r="P27" s="79" t="s">
        <v>513</v>
      </c>
      <c r="Q27" s="79" t="s">
        <v>770</v>
      </c>
      <c r="R27" s="79" t="s">
        <v>1147</v>
      </c>
      <c r="S27" s="79" t="s">
        <v>1148</v>
      </c>
      <c r="T27" s="79" t="s">
        <v>27</v>
      </c>
      <c r="U27" s="79" t="s">
        <v>27</v>
      </c>
      <c r="V27" s="79" t="s">
        <v>27</v>
      </c>
      <c r="W27" s="79" t="s">
        <v>27</v>
      </c>
      <c r="X27" s="79" t="s">
        <v>27</v>
      </c>
      <c r="Y27" s="79" t="s">
        <v>27</v>
      </c>
      <c r="Z27" s="79" t="s">
        <v>27</v>
      </c>
      <c r="AA27" s="79" t="s">
        <v>27</v>
      </c>
      <c r="AB27" s="79" t="s">
        <v>27</v>
      </c>
      <c r="AC27" s="79" t="s">
        <v>27</v>
      </c>
    </row>
    <row r="28" spans="1:29" x14ac:dyDescent="0.3">
      <c r="A28" t="s">
        <v>29</v>
      </c>
      <c r="B28" s="77" t="s">
        <v>125</v>
      </c>
      <c r="C28" s="77" t="s">
        <v>29</v>
      </c>
      <c r="D28" s="77" t="s">
        <v>126</v>
      </c>
      <c r="E28" s="77" t="s">
        <v>127</v>
      </c>
      <c r="F28" s="77" t="s">
        <v>128</v>
      </c>
      <c r="G28" s="77" t="s">
        <v>42</v>
      </c>
      <c r="H28" s="77"/>
      <c r="L28" s="78" t="s">
        <v>138</v>
      </c>
      <c r="M28" s="79" t="s">
        <v>31</v>
      </c>
      <c r="N28" s="79" t="s">
        <v>363</v>
      </c>
      <c r="O28" s="79" t="s">
        <v>280</v>
      </c>
      <c r="P28" s="79" t="s">
        <v>572</v>
      </c>
      <c r="Q28" s="79" t="s">
        <v>986</v>
      </c>
      <c r="R28" s="79" t="s">
        <v>1149</v>
      </c>
      <c r="S28" s="79" t="s">
        <v>1150</v>
      </c>
      <c r="T28" s="79" t="s">
        <v>27</v>
      </c>
      <c r="U28" s="79" t="s">
        <v>27</v>
      </c>
      <c r="V28" s="79" t="s">
        <v>27</v>
      </c>
      <c r="W28" s="79" t="s">
        <v>27</v>
      </c>
      <c r="X28" s="79" t="s">
        <v>27</v>
      </c>
      <c r="Y28" s="79" t="s">
        <v>27</v>
      </c>
      <c r="Z28" s="79" t="s">
        <v>27</v>
      </c>
      <c r="AA28" s="79" t="s">
        <v>27</v>
      </c>
      <c r="AB28" s="79" t="s">
        <v>27</v>
      </c>
      <c r="AC28" s="79" t="s">
        <v>27</v>
      </c>
    </row>
    <row r="29" spans="1:29" x14ac:dyDescent="0.3">
      <c r="A29" t="s">
        <v>29</v>
      </c>
      <c r="B29" s="77" t="s">
        <v>129</v>
      </c>
      <c r="C29" s="77" t="s">
        <v>29</v>
      </c>
      <c r="D29" s="77" t="s">
        <v>130</v>
      </c>
      <c r="E29" s="77" t="s">
        <v>131</v>
      </c>
      <c r="F29" s="77" t="s">
        <v>132</v>
      </c>
      <c r="G29" s="77" t="s">
        <v>133</v>
      </c>
      <c r="H29" s="77"/>
      <c r="L29" s="78" t="s">
        <v>142</v>
      </c>
      <c r="M29" s="79" t="s">
        <v>29</v>
      </c>
      <c r="N29" s="79" t="s">
        <v>291</v>
      </c>
      <c r="O29" s="79" t="s">
        <v>280</v>
      </c>
      <c r="P29" s="79" t="s">
        <v>641</v>
      </c>
      <c r="Q29" s="79" t="s">
        <v>239</v>
      </c>
      <c r="R29" s="79" t="s">
        <v>762</v>
      </c>
      <c r="S29" s="79" t="s">
        <v>1151</v>
      </c>
      <c r="T29" s="79" t="s">
        <v>1152</v>
      </c>
      <c r="U29" s="79" t="s">
        <v>27</v>
      </c>
      <c r="V29" s="79" t="s">
        <v>27</v>
      </c>
      <c r="W29" s="79" t="s">
        <v>27</v>
      </c>
      <c r="X29" s="79" t="s">
        <v>27</v>
      </c>
      <c r="Y29" s="79" t="s">
        <v>27</v>
      </c>
      <c r="Z29" s="79" t="s">
        <v>27</v>
      </c>
      <c r="AA29" s="79" t="s">
        <v>27</v>
      </c>
      <c r="AB29" s="79" t="s">
        <v>27</v>
      </c>
      <c r="AC29" s="79" t="s">
        <v>27</v>
      </c>
    </row>
    <row r="30" spans="1:29" x14ac:dyDescent="0.3">
      <c r="A30" t="s">
        <v>29</v>
      </c>
      <c r="B30" s="77" t="s">
        <v>134</v>
      </c>
      <c r="C30" s="77" t="s">
        <v>29</v>
      </c>
      <c r="D30" s="77" t="s">
        <v>135</v>
      </c>
      <c r="E30" s="77" t="s">
        <v>136</v>
      </c>
      <c r="F30" s="77" t="s">
        <v>137</v>
      </c>
      <c r="G30" s="77" t="s">
        <v>51</v>
      </c>
      <c r="H30" s="77"/>
      <c r="L30" s="78" t="s">
        <v>142</v>
      </c>
      <c r="M30" s="79" t="s">
        <v>30</v>
      </c>
      <c r="N30" s="79" t="s">
        <v>347</v>
      </c>
      <c r="O30" s="79" t="s">
        <v>473</v>
      </c>
      <c r="P30" s="79" t="s">
        <v>274</v>
      </c>
      <c r="Q30" s="79" t="s">
        <v>515</v>
      </c>
      <c r="R30" s="79" t="s">
        <v>1153</v>
      </c>
      <c r="S30" s="79" t="s">
        <v>1154</v>
      </c>
      <c r="T30" s="79" t="s">
        <v>1155</v>
      </c>
      <c r="U30" s="79" t="s">
        <v>27</v>
      </c>
      <c r="V30" s="79" t="s">
        <v>27</v>
      </c>
      <c r="W30" s="79" t="s">
        <v>27</v>
      </c>
      <c r="X30" s="79" t="s">
        <v>27</v>
      </c>
      <c r="Y30" s="79" t="s">
        <v>27</v>
      </c>
      <c r="Z30" s="79" t="s">
        <v>27</v>
      </c>
      <c r="AA30" s="79" t="s">
        <v>27</v>
      </c>
      <c r="AB30" s="79" t="s">
        <v>27</v>
      </c>
      <c r="AC30" s="79" t="s">
        <v>27</v>
      </c>
    </row>
    <row r="31" spans="1:29" x14ac:dyDescent="0.3">
      <c r="A31" t="s">
        <v>29</v>
      </c>
      <c r="B31" s="77" t="s">
        <v>138</v>
      </c>
      <c r="C31" s="77" t="s">
        <v>29</v>
      </c>
      <c r="D31" s="77" t="s">
        <v>139</v>
      </c>
      <c r="E31" s="77" t="s">
        <v>140</v>
      </c>
      <c r="F31" s="77" t="s">
        <v>141</v>
      </c>
      <c r="G31" s="77" t="s">
        <v>42</v>
      </c>
      <c r="H31" s="77"/>
      <c r="L31" s="78" t="s">
        <v>142</v>
      </c>
      <c r="M31" s="79" t="s">
        <v>31</v>
      </c>
      <c r="N31" s="79" t="s">
        <v>333</v>
      </c>
      <c r="O31" s="79" t="s">
        <v>473</v>
      </c>
      <c r="P31" s="79" t="s">
        <v>303</v>
      </c>
      <c r="Q31" s="79" t="s">
        <v>229</v>
      </c>
      <c r="R31" s="79" t="s">
        <v>1156</v>
      </c>
      <c r="S31" s="79" t="s">
        <v>1157</v>
      </c>
      <c r="T31" s="79" t="s">
        <v>1158</v>
      </c>
      <c r="U31" s="79" t="s">
        <v>27</v>
      </c>
      <c r="V31" s="79" t="s">
        <v>27</v>
      </c>
      <c r="W31" s="79" t="s">
        <v>27</v>
      </c>
      <c r="X31" s="79" t="s">
        <v>27</v>
      </c>
      <c r="Y31" s="79" t="s">
        <v>27</v>
      </c>
      <c r="Z31" s="79" t="s">
        <v>27</v>
      </c>
      <c r="AA31" s="79" t="s">
        <v>27</v>
      </c>
      <c r="AB31" s="79" t="s">
        <v>27</v>
      </c>
      <c r="AC31" s="79" t="s">
        <v>27</v>
      </c>
    </row>
    <row r="32" spans="1:29" x14ac:dyDescent="0.3">
      <c r="A32" t="s">
        <v>29</v>
      </c>
      <c r="B32" s="77" t="s">
        <v>142</v>
      </c>
      <c r="C32" s="77" t="s">
        <v>29</v>
      </c>
      <c r="D32" s="77" t="s">
        <v>143</v>
      </c>
      <c r="E32" s="77" t="s">
        <v>144</v>
      </c>
      <c r="F32" s="77" t="s">
        <v>145</v>
      </c>
      <c r="G32" s="77" t="s">
        <v>146</v>
      </c>
      <c r="H32" s="77"/>
      <c r="L32" s="78" t="s">
        <v>147</v>
      </c>
      <c r="M32" s="79" t="s">
        <v>29</v>
      </c>
      <c r="N32" s="79" t="s">
        <v>416</v>
      </c>
      <c r="O32" s="79" t="s">
        <v>326</v>
      </c>
      <c r="P32" s="79" t="s">
        <v>579</v>
      </c>
      <c r="Q32" s="79" t="s">
        <v>667</v>
      </c>
      <c r="R32" s="79" t="s">
        <v>742</v>
      </c>
      <c r="S32" s="79" t="s">
        <v>1159</v>
      </c>
      <c r="T32" s="79" t="s">
        <v>1160</v>
      </c>
      <c r="U32" s="79" t="s">
        <v>1161</v>
      </c>
      <c r="V32" s="79" t="s">
        <v>27</v>
      </c>
      <c r="W32" s="79" t="s">
        <v>27</v>
      </c>
      <c r="X32" s="79" t="s">
        <v>27</v>
      </c>
      <c r="Y32" s="79" t="s">
        <v>27</v>
      </c>
      <c r="Z32" s="79" t="s">
        <v>27</v>
      </c>
      <c r="AA32" s="79" t="s">
        <v>27</v>
      </c>
      <c r="AB32" s="79" t="s">
        <v>27</v>
      </c>
      <c r="AC32" s="79" t="s">
        <v>27</v>
      </c>
    </row>
    <row r="33" spans="1:29" x14ac:dyDescent="0.3">
      <c r="A33" t="s">
        <v>29</v>
      </c>
      <c r="B33" s="77" t="s">
        <v>147</v>
      </c>
      <c r="C33" s="77" t="s">
        <v>29</v>
      </c>
      <c r="D33" s="77" t="s">
        <v>148</v>
      </c>
      <c r="E33" s="77" t="s">
        <v>149</v>
      </c>
      <c r="F33" s="77" t="s">
        <v>150</v>
      </c>
      <c r="G33" s="77" t="s">
        <v>51</v>
      </c>
      <c r="H33" s="77"/>
      <c r="L33" s="78" t="s">
        <v>147</v>
      </c>
      <c r="M33" s="79" t="s">
        <v>30</v>
      </c>
      <c r="N33" s="79" t="s">
        <v>371</v>
      </c>
      <c r="O33" s="79" t="s">
        <v>369</v>
      </c>
      <c r="P33" s="79" t="s">
        <v>317</v>
      </c>
      <c r="Q33" s="79" t="s">
        <v>481</v>
      </c>
      <c r="R33" s="79" t="s">
        <v>497</v>
      </c>
      <c r="S33" s="79" t="s">
        <v>646</v>
      </c>
      <c r="T33" s="79" t="s">
        <v>1162</v>
      </c>
      <c r="U33" s="79" t="s">
        <v>1163</v>
      </c>
      <c r="V33" s="79" t="s">
        <v>27</v>
      </c>
      <c r="W33" s="79" t="s">
        <v>27</v>
      </c>
      <c r="X33" s="79" t="s">
        <v>27</v>
      </c>
      <c r="Y33" s="79" t="s">
        <v>27</v>
      </c>
      <c r="Z33" s="79" t="s">
        <v>27</v>
      </c>
      <c r="AA33" s="79" t="s">
        <v>27</v>
      </c>
      <c r="AB33" s="79" t="s">
        <v>27</v>
      </c>
      <c r="AC33" s="79" t="s">
        <v>27</v>
      </c>
    </row>
    <row r="34" spans="1:29" x14ac:dyDescent="0.3">
      <c r="A34" t="s">
        <v>29</v>
      </c>
      <c r="B34" s="77" t="s">
        <v>151</v>
      </c>
      <c r="C34" s="77" t="s">
        <v>29</v>
      </c>
      <c r="D34" s="77" t="s">
        <v>152</v>
      </c>
      <c r="E34" s="77" t="s">
        <v>153</v>
      </c>
      <c r="F34" s="77" t="s">
        <v>154</v>
      </c>
      <c r="G34" s="77" t="s">
        <v>56</v>
      </c>
      <c r="H34" s="77"/>
      <c r="L34" s="78" t="s">
        <v>147</v>
      </c>
      <c r="M34" s="79" t="s">
        <v>31</v>
      </c>
      <c r="N34" s="79" t="s">
        <v>372</v>
      </c>
      <c r="O34" s="79" t="s">
        <v>338</v>
      </c>
      <c r="P34" s="79" t="s">
        <v>317</v>
      </c>
      <c r="Q34" s="79" t="s">
        <v>448</v>
      </c>
      <c r="R34" s="79" t="s">
        <v>277</v>
      </c>
      <c r="S34" s="79" t="s">
        <v>1164</v>
      </c>
      <c r="T34" s="79" t="s">
        <v>1165</v>
      </c>
      <c r="U34" s="79" t="s">
        <v>1166</v>
      </c>
      <c r="V34" s="79" t="s">
        <v>27</v>
      </c>
      <c r="W34" s="79" t="s">
        <v>27</v>
      </c>
      <c r="X34" s="79" t="s">
        <v>27</v>
      </c>
      <c r="Y34" s="79" t="s">
        <v>27</v>
      </c>
      <c r="Z34" s="79" t="s">
        <v>27</v>
      </c>
      <c r="AA34" s="79" t="s">
        <v>27</v>
      </c>
      <c r="AB34" s="79" t="s">
        <v>27</v>
      </c>
      <c r="AC34" s="79" t="s">
        <v>27</v>
      </c>
    </row>
    <row r="35" spans="1:29" x14ac:dyDescent="0.3">
      <c r="A35" t="s">
        <v>29</v>
      </c>
      <c r="B35" s="77" t="s">
        <v>155</v>
      </c>
      <c r="C35" s="77" t="s">
        <v>29</v>
      </c>
      <c r="D35" s="77" t="s">
        <v>156</v>
      </c>
      <c r="E35" s="77" t="s">
        <v>157</v>
      </c>
      <c r="F35" s="77" t="s">
        <v>158</v>
      </c>
      <c r="G35" s="77" t="s">
        <v>74</v>
      </c>
      <c r="H35" s="77"/>
      <c r="L35" s="78" t="s">
        <v>151</v>
      </c>
      <c r="M35" s="79" t="s">
        <v>29</v>
      </c>
      <c r="N35" s="79" t="s">
        <v>380</v>
      </c>
      <c r="O35" s="79" t="s">
        <v>398</v>
      </c>
      <c r="P35" s="79" t="s">
        <v>299</v>
      </c>
      <c r="Q35" s="79" t="s">
        <v>469</v>
      </c>
      <c r="R35" s="79" t="s">
        <v>698</v>
      </c>
      <c r="S35" s="79" t="s">
        <v>927</v>
      </c>
      <c r="T35" s="79" t="s">
        <v>1159</v>
      </c>
      <c r="U35" s="79" t="s">
        <v>1167</v>
      </c>
      <c r="V35" s="79" t="s">
        <v>1168</v>
      </c>
      <c r="W35" s="79" t="s">
        <v>27</v>
      </c>
      <c r="X35" s="79" t="s">
        <v>27</v>
      </c>
      <c r="Y35" s="79" t="s">
        <v>27</v>
      </c>
      <c r="Z35" s="79" t="s">
        <v>27</v>
      </c>
      <c r="AA35" s="79" t="s">
        <v>27</v>
      </c>
      <c r="AB35" s="79" t="s">
        <v>27</v>
      </c>
      <c r="AC35" s="79" t="s">
        <v>27</v>
      </c>
    </row>
    <row r="36" spans="1:29" x14ac:dyDescent="0.3">
      <c r="A36" t="s">
        <v>29</v>
      </c>
      <c r="B36" s="77" t="s">
        <v>159</v>
      </c>
      <c r="C36" s="77" t="s">
        <v>29</v>
      </c>
      <c r="D36" s="77" t="s">
        <v>160</v>
      </c>
      <c r="E36" s="77" t="s">
        <v>161</v>
      </c>
      <c r="F36" s="77" t="s">
        <v>162</v>
      </c>
      <c r="G36" s="77" t="s">
        <v>56</v>
      </c>
      <c r="H36" s="77"/>
      <c r="L36" s="78" t="s">
        <v>151</v>
      </c>
      <c r="M36" s="79" t="s">
        <v>30</v>
      </c>
      <c r="N36" s="79" t="s">
        <v>393</v>
      </c>
      <c r="O36" s="79" t="s">
        <v>379</v>
      </c>
      <c r="P36" s="79" t="s">
        <v>330</v>
      </c>
      <c r="Q36" s="79" t="s">
        <v>410</v>
      </c>
      <c r="R36" s="79" t="s">
        <v>432</v>
      </c>
      <c r="S36" s="79" t="s">
        <v>752</v>
      </c>
      <c r="T36" s="79" t="s">
        <v>646</v>
      </c>
      <c r="U36" s="79" t="s">
        <v>1169</v>
      </c>
      <c r="V36" s="79" t="s">
        <v>1170</v>
      </c>
      <c r="W36" s="79" t="s">
        <v>27</v>
      </c>
      <c r="X36" s="79" t="s">
        <v>27</v>
      </c>
      <c r="Y36" s="79" t="s">
        <v>27</v>
      </c>
      <c r="Z36" s="79" t="s">
        <v>27</v>
      </c>
      <c r="AA36" s="79" t="s">
        <v>27</v>
      </c>
      <c r="AB36" s="79" t="s">
        <v>27</v>
      </c>
      <c r="AC36" s="79" t="s">
        <v>27</v>
      </c>
    </row>
    <row r="37" spans="1:29" x14ac:dyDescent="0.3">
      <c r="A37" t="s">
        <v>29</v>
      </c>
      <c r="B37" s="77" t="s">
        <v>163</v>
      </c>
      <c r="C37" s="77" t="s">
        <v>29</v>
      </c>
      <c r="D37" s="77" t="s">
        <v>164</v>
      </c>
      <c r="E37" s="77" t="s">
        <v>165</v>
      </c>
      <c r="F37" s="77" t="s">
        <v>53</v>
      </c>
      <c r="G37" s="77" t="s">
        <v>74</v>
      </c>
      <c r="H37" s="77"/>
      <c r="L37" s="78" t="s">
        <v>151</v>
      </c>
      <c r="M37" s="79" t="s">
        <v>31</v>
      </c>
      <c r="N37" s="79" t="s">
        <v>388</v>
      </c>
      <c r="O37" s="79" t="s">
        <v>382</v>
      </c>
      <c r="P37" s="79" t="s">
        <v>335</v>
      </c>
      <c r="Q37" s="79" t="s">
        <v>421</v>
      </c>
      <c r="R37" s="79" t="s">
        <v>523</v>
      </c>
      <c r="S37" s="79" t="s">
        <v>495</v>
      </c>
      <c r="T37" s="79" t="s">
        <v>1164</v>
      </c>
      <c r="U37" s="79" t="s">
        <v>1171</v>
      </c>
      <c r="V37" s="79" t="s">
        <v>1172</v>
      </c>
      <c r="W37" s="79" t="s">
        <v>27</v>
      </c>
      <c r="X37" s="79" t="s">
        <v>27</v>
      </c>
      <c r="Y37" s="79" t="s">
        <v>27</v>
      </c>
      <c r="Z37" s="79" t="s">
        <v>27</v>
      </c>
      <c r="AA37" s="79" t="s">
        <v>27</v>
      </c>
      <c r="AB37" s="79" t="s">
        <v>27</v>
      </c>
      <c r="AC37" s="79" t="s">
        <v>27</v>
      </c>
    </row>
    <row r="38" spans="1:29" x14ac:dyDescent="0.3">
      <c r="A38" t="s">
        <v>29</v>
      </c>
      <c r="B38" s="77" t="s">
        <v>166</v>
      </c>
      <c r="C38" s="77" t="s">
        <v>29</v>
      </c>
      <c r="D38" s="77" t="s">
        <v>167</v>
      </c>
      <c r="E38" s="77" t="s">
        <v>168</v>
      </c>
      <c r="F38" s="77" t="s">
        <v>169</v>
      </c>
      <c r="G38" s="77" t="s">
        <v>74</v>
      </c>
      <c r="H38" s="77"/>
      <c r="L38" s="78" t="s">
        <v>155</v>
      </c>
      <c r="M38" s="79" t="s">
        <v>29</v>
      </c>
      <c r="N38" s="79" t="s">
        <v>344</v>
      </c>
      <c r="O38" s="79" t="s">
        <v>325</v>
      </c>
      <c r="P38" s="79" t="s">
        <v>408</v>
      </c>
      <c r="Q38" s="79" t="s">
        <v>545</v>
      </c>
      <c r="R38" s="79" t="s">
        <v>521</v>
      </c>
      <c r="S38" s="79" t="s">
        <v>860</v>
      </c>
      <c r="T38" s="79" t="s">
        <v>1153</v>
      </c>
      <c r="U38" s="79" t="s">
        <v>1173</v>
      </c>
      <c r="V38" s="79" t="s">
        <v>1174</v>
      </c>
      <c r="W38" s="79" t="s">
        <v>1175</v>
      </c>
      <c r="X38" s="79" t="s">
        <v>27</v>
      </c>
      <c r="Y38" s="79" t="s">
        <v>27</v>
      </c>
      <c r="Z38" s="79" t="s">
        <v>27</v>
      </c>
      <c r="AA38" s="79" t="s">
        <v>27</v>
      </c>
      <c r="AB38" s="79" t="s">
        <v>27</v>
      </c>
      <c r="AC38" s="79" t="s">
        <v>27</v>
      </c>
    </row>
    <row r="39" spans="1:29" x14ac:dyDescent="0.3">
      <c r="A39" t="s">
        <v>29</v>
      </c>
      <c r="B39" s="77" t="s">
        <v>170</v>
      </c>
      <c r="C39" s="77" t="s">
        <v>29</v>
      </c>
      <c r="D39" s="77" t="s">
        <v>171</v>
      </c>
      <c r="E39" s="77" t="s">
        <v>172</v>
      </c>
      <c r="F39" s="77" t="s">
        <v>173</v>
      </c>
      <c r="G39" s="77" t="s">
        <v>174</v>
      </c>
      <c r="H39" s="77"/>
      <c r="L39" s="78" t="s">
        <v>155</v>
      </c>
      <c r="M39" s="79" t="s">
        <v>30</v>
      </c>
      <c r="N39" s="79" t="s">
        <v>375</v>
      </c>
      <c r="O39" s="79" t="s">
        <v>379</v>
      </c>
      <c r="P39" s="79" t="s">
        <v>380</v>
      </c>
      <c r="Q39" s="79" t="s">
        <v>318</v>
      </c>
      <c r="R39" s="79" t="s">
        <v>340</v>
      </c>
      <c r="S39" s="79" t="s">
        <v>283</v>
      </c>
      <c r="T39" s="79" t="s">
        <v>752</v>
      </c>
      <c r="U39" s="79" t="s">
        <v>610</v>
      </c>
      <c r="V39" s="79" t="s">
        <v>1176</v>
      </c>
      <c r="W39" s="79" t="s">
        <v>1177</v>
      </c>
      <c r="X39" s="79" t="s">
        <v>27</v>
      </c>
      <c r="Y39" s="79" t="s">
        <v>27</v>
      </c>
      <c r="Z39" s="79" t="s">
        <v>27</v>
      </c>
      <c r="AA39" s="79" t="s">
        <v>27</v>
      </c>
      <c r="AB39" s="79" t="s">
        <v>27</v>
      </c>
      <c r="AC39" s="79" t="s">
        <v>27</v>
      </c>
    </row>
    <row r="40" spans="1:29" x14ac:dyDescent="0.3">
      <c r="A40" t="s">
        <v>29</v>
      </c>
      <c r="B40" s="77" t="s">
        <v>175</v>
      </c>
      <c r="C40" s="77" t="s">
        <v>29</v>
      </c>
      <c r="D40" s="77" t="s">
        <v>176</v>
      </c>
      <c r="E40" s="77" t="s">
        <v>177</v>
      </c>
      <c r="F40" s="77" t="s">
        <v>178</v>
      </c>
      <c r="G40" s="77" t="s">
        <v>74</v>
      </c>
      <c r="H40" s="77"/>
      <c r="L40" s="78" t="s">
        <v>155</v>
      </c>
      <c r="M40" s="79" t="s">
        <v>31</v>
      </c>
      <c r="N40" s="79" t="s">
        <v>374</v>
      </c>
      <c r="O40" s="79" t="s">
        <v>37</v>
      </c>
      <c r="P40" s="79" t="s">
        <v>374</v>
      </c>
      <c r="Q40" s="79" t="s">
        <v>411</v>
      </c>
      <c r="R40" s="79" t="s">
        <v>307</v>
      </c>
      <c r="S40" s="79" t="s">
        <v>440</v>
      </c>
      <c r="T40" s="79" t="s">
        <v>579</v>
      </c>
      <c r="U40" s="79" t="s">
        <v>704</v>
      </c>
      <c r="V40" s="79" t="s">
        <v>1178</v>
      </c>
      <c r="W40" s="79" t="s">
        <v>1179</v>
      </c>
      <c r="X40" s="79" t="s">
        <v>27</v>
      </c>
      <c r="Y40" s="79" t="s">
        <v>27</v>
      </c>
      <c r="Z40" s="79" t="s">
        <v>27</v>
      </c>
      <c r="AA40" s="79" t="s">
        <v>27</v>
      </c>
      <c r="AB40" s="79" t="s">
        <v>27</v>
      </c>
      <c r="AC40" s="79" t="s">
        <v>27</v>
      </c>
    </row>
    <row r="41" spans="1:29" x14ac:dyDescent="0.3">
      <c r="A41" t="s">
        <v>29</v>
      </c>
      <c r="B41" s="77" t="s">
        <v>179</v>
      </c>
      <c r="C41" s="77" t="s">
        <v>29</v>
      </c>
      <c r="D41" s="77" t="s">
        <v>180</v>
      </c>
      <c r="E41" s="77" t="s">
        <v>181</v>
      </c>
      <c r="F41" s="77" t="s">
        <v>182</v>
      </c>
      <c r="G41" s="77" t="s">
        <v>74</v>
      </c>
      <c r="H41" s="77"/>
      <c r="L41" s="78" t="s">
        <v>159</v>
      </c>
      <c r="M41" s="79" t="s">
        <v>29</v>
      </c>
      <c r="N41" s="79" t="s">
        <v>349</v>
      </c>
      <c r="O41" s="79" t="s">
        <v>387</v>
      </c>
      <c r="P41" s="79" t="s">
        <v>378</v>
      </c>
      <c r="Q41" s="79" t="s">
        <v>348</v>
      </c>
      <c r="R41" s="79" t="s">
        <v>412</v>
      </c>
      <c r="S41" s="79" t="s">
        <v>584</v>
      </c>
      <c r="T41" s="79" t="s">
        <v>1180</v>
      </c>
      <c r="U41" s="79" t="s">
        <v>536</v>
      </c>
      <c r="V41" s="79" t="s">
        <v>947</v>
      </c>
      <c r="W41" s="79" t="s">
        <v>1181</v>
      </c>
      <c r="X41" s="79" t="s">
        <v>1182</v>
      </c>
      <c r="Y41" s="79" t="s">
        <v>27</v>
      </c>
      <c r="Z41" s="79" t="s">
        <v>27</v>
      </c>
      <c r="AA41" s="79" t="s">
        <v>27</v>
      </c>
      <c r="AB41" s="79" t="s">
        <v>27</v>
      </c>
      <c r="AC41" s="79" t="s">
        <v>27</v>
      </c>
    </row>
    <row r="42" spans="1:29" x14ac:dyDescent="0.3">
      <c r="A42" t="s">
        <v>183</v>
      </c>
      <c r="B42" s="77" t="s">
        <v>33</v>
      </c>
      <c r="C42" s="77" t="s">
        <v>29</v>
      </c>
      <c r="D42" s="77" t="s">
        <v>184</v>
      </c>
      <c r="E42" s="77" t="s">
        <v>185</v>
      </c>
      <c r="F42" s="77" t="s">
        <v>186</v>
      </c>
      <c r="G42" s="77" t="s">
        <v>187</v>
      </c>
      <c r="H42" s="77"/>
      <c r="L42" s="78" t="s">
        <v>159</v>
      </c>
      <c r="M42" s="79" t="s">
        <v>30</v>
      </c>
      <c r="N42" s="79" t="s">
        <v>120</v>
      </c>
      <c r="O42" s="79" t="s">
        <v>386</v>
      </c>
      <c r="P42" s="79" t="s">
        <v>389</v>
      </c>
      <c r="Q42" s="79" t="s">
        <v>381</v>
      </c>
      <c r="R42" s="79" t="s">
        <v>384</v>
      </c>
      <c r="S42" s="79" t="s">
        <v>346</v>
      </c>
      <c r="T42" s="79" t="s">
        <v>489</v>
      </c>
      <c r="U42" s="79" t="s">
        <v>618</v>
      </c>
      <c r="V42" s="79" t="s">
        <v>698</v>
      </c>
      <c r="W42" s="79" t="s">
        <v>1183</v>
      </c>
      <c r="X42" s="79" t="s">
        <v>1184</v>
      </c>
      <c r="Y42" s="79" t="s">
        <v>27</v>
      </c>
      <c r="Z42" s="79" t="s">
        <v>27</v>
      </c>
      <c r="AA42" s="79" t="s">
        <v>27</v>
      </c>
      <c r="AB42" s="79" t="s">
        <v>27</v>
      </c>
      <c r="AC42" s="79" t="s">
        <v>27</v>
      </c>
    </row>
    <row r="43" spans="1:29" x14ac:dyDescent="0.3">
      <c r="A43" t="s">
        <v>183</v>
      </c>
      <c r="B43" s="77" t="s">
        <v>38</v>
      </c>
      <c r="C43" s="77" t="s">
        <v>29</v>
      </c>
      <c r="D43" s="77" t="s">
        <v>188</v>
      </c>
      <c r="E43" s="77" t="s">
        <v>189</v>
      </c>
      <c r="F43" s="77" t="s">
        <v>190</v>
      </c>
      <c r="G43" s="77" t="s">
        <v>87</v>
      </c>
      <c r="H43" s="77"/>
      <c r="L43" s="78" t="s">
        <v>159</v>
      </c>
      <c r="M43" s="79" t="s">
        <v>31</v>
      </c>
      <c r="N43" s="79" t="s">
        <v>187</v>
      </c>
      <c r="O43" s="79" t="s">
        <v>375</v>
      </c>
      <c r="P43" s="79" t="s">
        <v>382</v>
      </c>
      <c r="Q43" s="79" t="s">
        <v>356</v>
      </c>
      <c r="R43" s="79" t="s">
        <v>387</v>
      </c>
      <c r="S43" s="79" t="s">
        <v>333</v>
      </c>
      <c r="T43" s="79" t="s">
        <v>294</v>
      </c>
      <c r="U43" s="79" t="s">
        <v>488</v>
      </c>
      <c r="V43" s="79" t="s">
        <v>248</v>
      </c>
      <c r="W43" s="79" t="s">
        <v>1185</v>
      </c>
      <c r="X43" s="79" t="s">
        <v>1186</v>
      </c>
      <c r="Y43" s="79" t="s">
        <v>27</v>
      </c>
      <c r="Z43" s="79" t="s">
        <v>27</v>
      </c>
      <c r="AA43" s="79" t="s">
        <v>27</v>
      </c>
      <c r="AB43" s="79" t="s">
        <v>27</v>
      </c>
      <c r="AC43" s="79" t="s">
        <v>27</v>
      </c>
    </row>
    <row r="44" spans="1:29" x14ac:dyDescent="0.3">
      <c r="A44" t="s">
        <v>183</v>
      </c>
      <c r="B44" s="77" t="s">
        <v>43</v>
      </c>
      <c r="C44" s="77" t="s">
        <v>29</v>
      </c>
      <c r="D44" s="77" t="s">
        <v>191</v>
      </c>
      <c r="E44" s="77" t="s">
        <v>192</v>
      </c>
      <c r="F44" s="77" t="s">
        <v>193</v>
      </c>
      <c r="G44" s="77" t="s">
        <v>27</v>
      </c>
      <c r="H44" s="77"/>
      <c r="L44" s="78" t="s">
        <v>163</v>
      </c>
      <c r="M44" s="79" t="s">
        <v>29</v>
      </c>
      <c r="N44" s="79" t="s">
        <v>389</v>
      </c>
      <c r="O44" s="79" t="s">
        <v>400</v>
      </c>
      <c r="P44" s="79" t="s">
        <v>393</v>
      </c>
      <c r="Q44" s="79" t="s">
        <v>382</v>
      </c>
      <c r="R44" s="79" t="s">
        <v>356</v>
      </c>
      <c r="S44" s="79" t="s">
        <v>366</v>
      </c>
      <c r="T44" s="79" t="s">
        <v>421</v>
      </c>
      <c r="U44" s="79" t="s">
        <v>437</v>
      </c>
      <c r="V44" s="79" t="s">
        <v>266</v>
      </c>
      <c r="W44" s="79" t="s">
        <v>650</v>
      </c>
      <c r="X44" s="79" t="s">
        <v>1187</v>
      </c>
      <c r="Y44" s="79" t="s">
        <v>1188</v>
      </c>
      <c r="Z44" s="79" t="s">
        <v>27</v>
      </c>
      <c r="AA44" s="79" t="s">
        <v>27</v>
      </c>
      <c r="AB44" s="79" t="s">
        <v>27</v>
      </c>
      <c r="AC44" s="79" t="s">
        <v>27</v>
      </c>
    </row>
    <row r="45" spans="1:29" x14ac:dyDescent="0.3">
      <c r="A45" t="s">
        <v>183</v>
      </c>
      <c r="B45" s="77" t="s">
        <v>47</v>
      </c>
      <c r="C45" s="77" t="s">
        <v>29</v>
      </c>
      <c r="D45" s="77" t="s">
        <v>194</v>
      </c>
      <c r="E45" s="77" t="s">
        <v>195</v>
      </c>
      <c r="F45" s="77" t="s">
        <v>196</v>
      </c>
      <c r="G45" s="77" t="s">
        <v>74</v>
      </c>
      <c r="H45" s="77"/>
      <c r="L45" s="78" t="s">
        <v>163</v>
      </c>
      <c r="M45" s="79" t="s">
        <v>30</v>
      </c>
      <c r="N45" s="79" t="s">
        <v>392</v>
      </c>
      <c r="O45" s="79" t="s">
        <v>187</v>
      </c>
      <c r="P45" s="79" t="s">
        <v>42</v>
      </c>
      <c r="Q45" s="79" t="s">
        <v>390</v>
      </c>
      <c r="R45" s="79" t="s">
        <v>388</v>
      </c>
      <c r="S45" s="79" t="s">
        <v>373</v>
      </c>
      <c r="T45" s="79" t="s">
        <v>348</v>
      </c>
      <c r="U45" s="79" t="s">
        <v>413</v>
      </c>
      <c r="V45" s="79" t="s">
        <v>441</v>
      </c>
      <c r="W45" s="79" t="s">
        <v>226</v>
      </c>
      <c r="X45" s="79" t="s">
        <v>1189</v>
      </c>
      <c r="Y45" s="79" t="s">
        <v>1190</v>
      </c>
      <c r="Z45" s="79" t="s">
        <v>27</v>
      </c>
      <c r="AA45" s="79" t="s">
        <v>27</v>
      </c>
      <c r="AB45" s="79" t="s">
        <v>27</v>
      </c>
      <c r="AC45" s="79" t="s">
        <v>27</v>
      </c>
    </row>
    <row r="46" spans="1:29" x14ac:dyDescent="0.3">
      <c r="A46" t="s">
        <v>183</v>
      </c>
      <c r="B46" s="77" t="s">
        <v>52</v>
      </c>
      <c r="C46" s="77" t="s">
        <v>29</v>
      </c>
      <c r="D46" s="77" t="s">
        <v>197</v>
      </c>
      <c r="E46" s="77" t="s">
        <v>198</v>
      </c>
      <c r="F46" s="77" t="s">
        <v>199</v>
      </c>
      <c r="G46" s="77" t="s">
        <v>74</v>
      </c>
      <c r="H46" s="77"/>
      <c r="L46" s="78" t="s">
        <v>163</v>
      </c>
      <c r="M46" s="79" t="s">
        <v>31</v>
      </c>
      <c r="N46" s="79" t="s">
        <v>146</v>
      </c>
      <c r="O46" s="79" t="s">
        <v>402</v>
      </c>
      <c r="P46" s="79" t="s">
        <v>42</v>
      </c>
      <c r="Q46" s="79" t="s">
        <v>392</v>
      </c>
      <c r="R46" s="79" t="s">
        <v>133</v>
      </c>
      <c r="S46" s="79" t="s">
        <v>372</v>
      </c>
      <c r="T46" s="79" t="s">
        <v>322</v>
      </c>
      <c r="U46" s="79" t="s">
        <v>423</v>
      </c>
      <c r="V46" s="79" t="s">
        <v>395</v>
      </c>
      <c r="W46" s="79" t="s">
        <v>431</v>
      </c>
      <c r="X46" s="79" t="s">
        <v>1191</v>
      </c>
      <c r="Y46" s="79" t="s">
        <v>1192</v>
      </c>
      <c r="Z46" s="79" t="s">
        <v>27</v>
      </c>
      <c r="AA46" s="79" t="s">
        <v>27</v>
      </c>
      <c r="AB46" s="79" t="s">
        <v>27</v>
      </c>
      <c r="AC46" s="79" t="s">
        <v>27</v>
      </c>
    </row>
    <row r="47" spans="1:29" x14ac:dyDescent="0.3">
      <c r="A47" t="s">
        <v>183</v>
      </c>
      <c r="B47" s="77" t="s">
        <v>57</v>
      </c>
      <c r="C47" s="77" t="s">
        <v>29</v>
      </c>
      <c r="D47" s="77" t="s">
        <v>200</v>
      </c>
      <c r="E47" s="77" t="s">
        <v>201</v>
      </c>
      <c r="F47" s="77" t="s">
        <v>202</v>
      </c>
      <c r="G47" s="77" t="s">
        <v>174</v>
      </c>
      <c r="H47" s="77"/>
      <c r="L47" s="78" t="s">
        <v>166</v>
      </c>
      <c r="M47" s="79" t="s">
        <v>29</v>
      </c>
      <c r="N47" s="79" t="s">
        <v>385</v>
      </c>
      <c r="O47" s="79" t="s">
        <v>187</v>
      </c>
      <c r="P47" s="79" t="s">
        <v>146</v>
      </c>
      <c r="Q47" s="79" t="s">
        <v>386</v>
      </c>
      <c r="R47" s="79" t="s">
        <v>385</v>
      </c>
      <c r="S47" s="79" t="s">
        <v>404</v>
      </c>
      <c r="T47" s="79" t="s">
        <v>365</v>
      </c>
      <c r="U47" s="79" t="s">
        <v>503</v>
      </c>
      <c r="V47" s="79" t="s">
        <v>515</v>
      </c>
      <c r="W47" s="79" t="s">
        <v>597</v>
      </c>
      <c r="X47" s="79" t="s">
        <v>221</v>
      </c>
      <c r="Y47" s="79" t="s">
        <v>1193</v>
      </c>
      <c r="Z47" s="79" t="s">
        <v>1194</v>
      </c>
      <c r="AA47" s="79" t="s">
        <v>27</v>
      </c>
      <c r="AB47" s="79" t="s">
        <v>27</v>
      </c>
      <c r="AC47" s="79" t="s">
        <v>27</v>
      </c>
    </row>
    <row r="48" spans="1:29" x14ac:dyDescent="0.3">
      <c r="A48" t="s">
        <v>183</v>
      </c>
      <c r="B48" s="77" t="s">
        <v>62</v>
      </c>
      <c r="C48" s="77" t="s">
        <v>29</v>
      </c>
      <c r="D48" s="77" t="s">
        <v>203</v>
      </c>
      <c r="E48" s="77" t="s">
        <v>204</v>
      </c>
      <c r="F48" s="77" t="s">
        <v>205</v>
      </c>
      <c r="G48" s="77" t="s">
        <v>27</v>
      </c>
      <c r="H48" s="77"/>
      <c r="L48" s="78" t="s">
        <v>166</v>
      </c>
      <c r="M48" s="79" t="s">
        <v>30</v>
      </c>
      <c r="N48" s="79" t="s">
        <v>402</v>
      </c>
      <c r="O48" s="79" t="s">
        <v>51</v>
      </c>
      <c r="P48" s="79" t="s">
        <v>87</v>
      </c>
      <c r="Q48" s="79" t="s">
        <v>146</v>
      </c>
      <c r="R48" s="79" t="s">
        <v>392</v>
      </c>
      <c r="S48" s="79" t="s">
        <v>385</v>
      </c>
      <c r="T48" s="79" t="s">
        <v>353</v>
      </c>
      <c r="U48" s="79" t="s">
        <v>367</v>
      </c>
      <c r="V48" s="79" t="s">
        <v>501</v>
      </c>
      <c r="W48" s="79" t="s">
        <v>274</v>
      </c>
      <c r="X48" s="79" t="s">
        <v>599</v>
      </c>
      <c r="Y48" s="79" t="s">
        <v>1195</v>
      </c>
      <c r="Z48" s="79" t="s">
        <v>1196</v>
      </c>
      <c r="AA48" s="79" t="s">
        <v>27</v>
      </c>
      <c r="AB48" s="79" t="s">
        <v>27</v>
      </c>
      <c r="AC48" s="79" t="s">
        <v>27</v>
      </c>
    </row>
    <row r="49" spans="1:29" x14ac:dyDescent="0.3">
      <c r="A49" t="s">
        <v>183</v>
      </c>
      <c r="B49" s="77" t="s">
        <v>66</v>
      </c>
      <c r="C49" s="77" t="s">
        <v>29</v>
      </c>
      <c r="D49" s="77" t="s">
        <v>206</v>
      </c>
      <c r="E49" s="77" t="s">
        <v>207</v>
      </c>
      <c r="F49" s="77" t="s">
        <v>208</v>
      </c>
      <c r="G49" s="77" t="s">
        <v>27</v>
      </c>
      <c r="H49" s="77"/>
      <c r="L49" s="78" t="s">
        <v>166</v>
      </c>
      <c r="M49" s="79" t="s">
        <v>31</v>
      </c>
      <c r="N49" s="79" t="s">
        <v>401</v>
      </c>
      <c r="O49" s="79" t="s">
        <v>42</v>
      </c>
      <c r="P49" s="79" t="s">
        <v>56</v>
      </c>
      <c r="Q49" s="79" t="s">
        <v>390</v>
      </c>
      <c r="R49" s="79" t="s">
        <v>392</v>
      </c>
      <c r="S49" s="79" t="s">
        <v>388</v>
      </c>
      <c r="T49" s="79" t="s">
        <v>399</v>
      </c>
      <c r="U49" s="79" t="s">
        <v>324</v>
      </c>
      <c r="V49" s="79" t="s">
        <v>433</v>
      </c>
      <c r="W49" s="79" t="s">
        <v>475</v>
      </c>
      <c r="X49" s="79" t="s">
        <v>631</v>
      </c>
      <c r="Y49" s="79" t="s">
        <v>1197</v>
      </c>
      <c r="Z49" s="79" t="s">
        <v>1198</v>
      </c>
      <c r="AA49" s="79" t="s">
        <v>27</v>
      </c>
      <c r="AB49" s="79" t="s">
        <v>27</v>
      </c>
      <c r="AC49" s="79" t="s">
        <v>27</v>
      </c>
    </row>
    <row r="50" spans="1:29" x14ac:dyDescent="0.3">
      <c r="A50" t="s">
        <v>183</v>
      </c>
      <c r="B50" s="77" t="s">
        <v>70</v>
      </c>
      <c r="C50" s="77" t="s">
        <v>29</v>
      </c>
      <c r="D50" s="77" t="s">
        <v>209</v>
      </c>
      <c r="E50" s="77" t="s">
        <v>210</v>
      </c>
      <c r="F50" s="77" t="s">
        <v>211</v>
      </c>
      <c r="G50" s="77" t="s">
        <v>27</v>
      </c>
      <c r="H50" s="77"/>
      <c r="L50" s="78" t="s">
        <v>170</v>
      </c>
      <c r="M50" s="79" t="s">
        <v>29</v>
      </c>
      <c r="N50" s="79" t="s">
        <v>385</v>
      </c>
      <c r="O50" s="79" t="s">
        <v>356</v>
      </c>
      <c r="P50" s="79" t="s">
        <v>383</v>
      </c>
      <c r="Q50" s="79" t="s">
        <v>375</v>
      </c>
      <c r="R50" s="79" t="s">
        <v>375</v>
      </c>
      <c r="S50" s="79" t="s">
        <v>373</v>
      </c>
      <c r="T50" s="79" t="s">
        <v>335</v>
      </c>
      <c r="U50" s="79" t="s">
        <v>564</v>
      </c>
      <c r="V50" s="79" t="s">
        <v>460</v>
      </c>
      <c r="W50" s="79" t="s">
        <v>572</v>
      </c>
      <c r="X50" s="79" t="s">
        <v>268</v>
      </c>
      <c r="Y50" s="79" t="s">
        <v>1199</v>
      </c>
      <c r="Z50" s="79" t="s">
        <v>1200</v>
      </c>
      <c r="AA50" s="81">
        <v>26896</v>
      </c>
      <c r="AB50" s="79" t="s">
        <v>27</v>
      </c>
      <c r="AC50" s="79" t="s">
        <v>27</v>
      </c>
    </row>
    <row r="51" spans="1:29" x14ac:dyDescent="0.3">
      <c r="A51" t="s">
        <v>183</v>
      </c>
      <c r="B51" s="77" t="s">
        <v>75</v>
      </c>
      <c r="C51" s="77" t="s">
        <v>29</v>
      </c>
      <c r="D51" s="77" t="s">
        <v>212</v>
      </c>
      <c r="E51" s="77" t="s">
        <v>213</v>
      </c>
      <c r="F51" s="77" t="s">
        <v>214</v>
      </c>
      <c r="G51" s="77" t="s">
        <v>27</v>
      </c>
      <c r="H51" s="77"/>
      <c r="L51" s="78" t="s">
        <v>170</v>
      </c>
      <c r="M51" s="79" t="s">
        <v>30</v>
      </c>
      <c r="N51" s="79" t="s">
        <v>401</v>
      </c>
      <c r="O51" s="79" t="s">
        <v>390</v>
      </c>
      <c r="P51" s="79" t="s">
        <v>146</v>
      </c>
      <c r="Q51" s="79" t="s">
        <v>390</v>
      </c>
      <c r="R51" s="79" t="s">
        <v>392</v>
      </c>
      <c r="S51" s="79" t="s">
        <v>187</v>
      </c>
      <c r="T51" s="79" t="s">
        <v>400</v>
      </c>
      <c r="U51" s="79" t="s">
        <v>318</v>
      </c>
      <c r="V51" s="79" t="s">
        <v>533</v>
      </c>
      <c r="W51" s="79" t="s">
        <v>275</v>
      </c>
      <c r="X51" s="79" t="s">
        <v>468</v>
      </c>
      <c r="Y51" s="79" t="s">
        <v>664</v>
      </c>
      <c r="Z51" s="79" t="s">
        <v>1201</v>
      </c>
      <c r="AA51" s="81">
        <v>13632</v>
      </c>
      <c r="AB51" s="79" t="s">
        <v>27</v>
      </c>
      <c r="AC51" s="79" t="s">
        <v>27</v>
      </c>
    </row>
    <row r="52" spans="1:29" x14ac:dyDescent="0.3">
      <c r="A52" t="s">
        <v>183</v>
      </c>
      <c r="B52" s="77" t="s">
        <v>79</v>
      </c>
      <c r="C52" s="77" t="s">
        <v>29</v>
      </c>
      <c r="D52" s="77" t="s">
        <v>215</v>
      </c>
      <c r="E52" s="77" t="s">
        <v>216</v>
      </c>
      <c r="F52" s="77" t="s">
        <v>217</v>
      </c>
      <c r="G52" s="77" t="s">
        <v>27</v>
      </c>
      <c r="H52" s="77"/>
      <c r="L52" s="78" t="s">
        <v>170</v>
      </c>
      <c r="M52" s="79" t="s">
        <v>31</v>
      </c>
      <c r="N52" s="79" t="s">
        <v>402</v>
      </c>
      <c r="O52" s="79" t="s">
        <v>393</v>
      </c>
      <c r="P52" s="79" t="s">
        <v>401</v>
      </c>
      <c r="Q52" s="79" t="s">
        <v>390</v>
      </c>
      <c r="R52" s="79" t="s">
        <v>187</v>
      </c>
      <c r="S52" s="79" t="s">
        <v>388</v>
      </c>
      <c r="T52" s="79" t="s">
        <v>391</v>
      </c>
      <c r="U52" s="79" t="s">
        <v>330</v>
      </c>
      <c r="V52" s="79" t="s">
        <v>309</v>
      </c>
      <c r="W52" s="79" t="s">
        <v>446</v>
      </c>
      <c r="X52" s="79" t="s">
        <v>274</v>
      </c>
      <c r="Y52" s="79" t="s">
        <v>631</v>
      </c>
      <c r="Z52" s="79" t="s">
        <v>1202</v>
      </c>
      <c r="AA52" s="81">
        <v>13264</v>
      </c>
      <c r="AB52" s="79" t="s">
        <v>27</v>
      </c>
      <c r="AC52" s="79" t="s">
        <v>27</v>
      </c>
    </row>
    <row r="53" spans="1:29" x14ac:dyDescent="0.3">
      <c r="A53" t="s">
        <v>183</v>
      </c>
      <c r="B53" s="77" t="s">
        <v>83</v>
      </c>
      <c r="C53" s="77" t="s">
        <v>29</v>
      </c>
      <c r="D53" s="77" t="s">
        <v>218</v>
      </c>
      <c r="E53" s="77" t="s">
        <v>219</v>
      </c>
      <c r="F53" s="77" t="s">
        <v>220</v>
      </c>
      <c r="G53" s="77" t="s">
        <v>61</v>
      </c>
      <c r="H53" s="77"/>
      <c r="L53" s="78" t="s">
        <v>175</v>
      </c>
      <c r="M53" s="79" t="s">
        <v>29</v>
      </c>
      <c r="N53" s="79" t="s">
        <v>381</v>
      </c>
      <c r="O53" s="79" t="s">
        <v>382</v>
      </c>
      <c r="P53" s="79" t="s">
        <v>386</v>
      </c>
      <c r="Q53" s="79" t="s">
        <v>133</v>
      </c>
      <c r="R53" s="79" t="s">
        <v>373</v>
      </c>
      <c r="S53" s="79" t="s">
        <v>120</v>
      </c>
      <c r="T53" s="79" t="s">
        <v>372</v>
      </c>
      <c r="U53" s="79" t="s">
        <v>366</v>
      </c>
      <c r="V53" s="79" t="s">
        <v>310</v>
      </c>
      <c r="W53" s="79" t="s">
        <v>498</v>
      </c>
      <c r="X53" s="79" t="s">
        <v>984</v>
      </c>
      <c r="Y53" s="79" t="s">
        <v>770</v>
      </c>
      <c r="Z53" s="79" t="s">
        <v>1203</v>
      </c>
      <c r="AA53" s="81">
        <v>7982</v>
      </c>
      <c r="AB53" s="79" t="s">
        <v>1204</v>
      </c>
      <c r="AC53" s="79" t="s">
        <v>27</v>
      </c>
    </row>
    <row r="54" spans="1:29" x14ac:dyDescent="0.3">
      <c r="A54" t="s">
        <v>183</v>
      </c>
      <c r="B54" s="77" t="s">
        <v>88</v>
      </c>
      <c r="C54" s="77" t="s">
        <v>29</v>
      </c>
      <c r="D54" s="77" t="s">
        <v>221</v>
      </c>
      <c r="E54" s="77" t="s">
        <v>222</v>
      </c>
      <c r="F54" s="77" t="s">
        <v>223</v>
      </c>
      <c r="G54" s="77" t="s">
        <v>74</v>
      </c>
      <c r="H54" s="77"/>
      <c r="L54" s="78" t="s">
        <v>175</v>
      </c>
      <c r="M54" s="79" t="s">
        <v>30</v>
      </c>
      <c r="N54" s="79" t="s">
        <v>401</v>
      </c>
      <c r="O54" s="79" t="s">
        <v>402</v>
      </c>
      <c r="P54" s="79" t="s">
        <v>401</v>
      </c>
      <c r="Q54" s="79" t="s">
        <v>51</v>
      </c>
      <c r="R54" s="79" t="s">
        <v>390</v>
      </c>
      <c r="S54" s="79" t="s">
        <v>388</v>
      </c>
      <c r="T54" s="79" t="s">
        <v>386</v>
      </c>
      <c r="U54" s="79" t="s">
        <v>353</v>
      </c>
      <c r="V54" s="79" t="s">
        <v>377</v>
      </c>
      <c r="W54" s="79" t="s">
        <v>302</v>
      </c>
      <c r="X54" s="79" t="s">
        <v>523</v>
      </c>
      <c r="Y54" s="79" t="s">
        <v>483</v>
      </c>
      <c r="Z54" s="79" t="s">
        <v>1205</v>
      </c>
      <c r="AA54" s="81">
        <v>4015</v>
      </c>
      <c r="AB54" s="79" t="s">
        <v>1206</v>
      </c>
      <c r="AC54" s="79" t="s">
        <v>27</v>
      </c>
    </row>
    <row r="55" spans="1:29" x14ac:dyDescent="0.3">
      <c r="A55" t="s">
        <v>183</v>
      </c>
      <c r="B55" s="77" t="s">
        <v>92</v>
      </c>
      <c r="C55" s="77" t="s">
        <v>29</v>
      </c>
      <c r="D55" s="77" t="s">
        <v>224</v>
      </c>
      <c r="E55" s="77" t="s">
        <v>225</v>
      </c>
      <c r="F55" s="77" t="s">
        <v>226</v>
      </c>
      <c r="G55" s="77" t="s">
        <v>27</v>
      </c>
      <c r="H55" s="77"/>
      <c r="L55" s="78" t="s">
        <v>175</v>
      </c>
      <c r="M55" s="79" t="s">
        <v>31</v>
      </c>
      <c r="N55" s="79" t="s">
        <v>388</v>
      </c>
      <c r="O55" s="79" t="s">
        <v>133</v>
      </c>
      <c r="P55" s="79" t="s">
        <v>42</v>
      </c>
      <c r="Q55" s="79" t="s">
        <v>146</v>
      </c>
      <c r="R55" s="79" t="s">
        <v>389</v>
      </c>
      <c r="S55" s="79" t="s">
        <v>390</v>
      </c>
      <c r="T55" s="79" t="s">
        <v>187</v>
      </c>
      <c r="U55" s="79" t="s">
        <v>356</v>
      </c>
      <c r="V55" s="79" t="s">
        <v>344</v>
      </c>
      <c r="W55" s="79" t="s">
        <v>423</v>
      </c>
      <c r="X55" s="79" t="s">
        <v>281</v>
      </c>
      <c r="Y55" s="79" t="s">
        <v>450</v>
      </c>
      <c r="Z55" s="79" t="s">
        <v>638</v>
      </c>
      <c r="AA55" s="81">
        <v>3967</v>
      </c>
      <c r="AB55" s="79" t="s">
        <v>1207</v>
      </c>
      <c r="AC55" s="79" t="s">
        <v>27</v>
      </c>
    </row>
    <row r="56" spans="1:29" x14ac:dyDescent="0.3">
      <c r="A56" t="s">
        <v>183</v>
      </c>
      <c r="B56" s="77" t="s">
        <v>96</v>
      </c>
      <c r="C56" s="77" t="s">
        <v>29</v>
      </c>
      <c r="D56" s="77" t="s">
        <v>227</v>
      </c>
      <c r="E56" s="77" t="s">
        <v>228</v>
      </c>
      <c r="F56" s="77" t="s">
        <v>229</v>
      </c>
      <c r="G56" s="77" t="s">
        <v>74</v>
      </c>
      <c r="H56" s="77"/>
      <c r="L56" s="78" t="s">
        <v>179</v>
      </c>
      <c r="M56" s="79" t="s">
        <v>29</v>
      </c>
      <c r="N56" s="79" t="s">
        <v>379</v>
      </c>
      <c r="O56" s="79" t="s">
        <v>385</v>
      </c>
      <c r="P56" s="79" t="s">
        <v>383</v>
      </c>
      <c r="Q56" s="79" t="s">
        <v>381</v>
      </c>
      <c r="R56" s="79" t="s">
        <v>383</v>
      </c>
      <c r="S56" s="79" t="s">
        <v>386</v>
      </c>
      <c r="T56" s="79" t="s">
        <v>378</v>
      </c>
      <c r="U56" s="79" t="s">
        <v>384</v>
      </c>
      <c r="V56" s="79" t="s">
        <v>325</v>
      </c>
      <c r="W56" s="79" t="s">
        <v>362</v>
      </c>
      <c r="X56" s="79" t="s">
        <v>295</v>
      </c>
      <c r="Y56" s="79" t="s">
        <v>548</v>
      </c>
      <c r="Z56" s="79" t="s">
        <v>289</v>
      </c>
      <c r="AA56" s="80">
        <v>445</v>
      </c>
      <c r="AB56" s="79" t="s">
        <v>1208</v>
      </c>
      <c r="AC56" s="79" t="s">
        <v>1209</v>
      </c>
    </row>
    <row r="57" spans="1:29" x14ac:dyDescent="0.3">
      <c r="A57" t="s">
        <v>183</v>
      </c>
      <c r="B57" s="77" t="s">
        <v>100</v>
      </c>
      <c r="C57" s="77" t="s">
        <v>29</v>
      </c>
      <c r="D57" s="77" t="s">
        <v>230</v>
      </c>
      <c r="E57" s="77" t="s">
        <v>231</v>
      </c>
      <c r="F57" s="77" t="s">
        <v>232</v>
      </c>
      <c r="G57" s="77" t="s">
        <v>51</v>
      </c>
      <c r="H57" s="77"/>
      <c r="L57" s="78" t="s">
        <v>179</v>
      </c>
      <c r="M57" s="79" t="s">
        <v>30</v>
      </c>
      <c r="N57" s="79" t="s">
        <v>390</v>
      </c>
      <c r="O57" s="79" t="s">
        <v>401</v>
      </c>
      <c r="P57" s="79" t="s">
        <v>402</v>
      </c>
      <c r="Q57" s="79" t="s">
        <v>388</v>
      </c>
      <c r="R57" s="79" t="s">
        <v>42</v>
      </c>
      <c r="S57" s="79" t="s">
        <v>133</v>
      </c>
      <c r="T57" s="79" t="s">
        <v>375</v>
      </c>
      <c r="U57" s="79" t="s">
        <v>37</v>
      </c>
      <c r="V57" s="79" t="s">
        <v>400</v>
      </c>
      <c r="W57" s="79" t="s">
        <v>404</v>
      </c>
      <c r="X57" s="79" t="s">
        <v>364</v>
      </c>
      <c r="Y57" s="79" t="s">
        <v>499</v>
      </c>
      <c r="Z57" s="79" t="s">
        <v>296</v>
      </c>
      <c r="AA57" s="80">
        <v>209</v>
      </c>
      <c r="AB57" s="79" t="s">
        <v>1210</v>
      </c>
      <c r="AC57" s="79" t="s">
        <v>1211</v>
      </c>
    </row>
    <row r="58" spans="1:29" x14ac:dyDescent="0.3">
      <c r="A58" t="s">
        <v>183</v>
      </c>
      <c r="B58" s="77" t="s">
        <v>104</v>
      </c>
      <c r="C58" s="77" t="s">
        <v>29</v>
      </c>
      <c r="D58" s="77" t="s">
        <v>233</v>
      </c>
      <c r="E58" s="77" t="s">
        <v>217</v>
      </c>
      <c r="F58" s="77" t="s">
        <v>234</v>
      </c>
      <c r="G58" s="77" t="s">
        <v>27</v>
      </c>
      <c r="H58" s="77"/>
      <c r="L58" s="78" t="s">
        <v>179</v>
      </c>
      <c r="M58" s="79" t="s">
        <v>31</v>
      </c>
      <c r="N58" s="79" t="s">
        <v>383</v>
      </c>
      <c r="O58" s="79" t="s">
        <v>402</v>
      </c>
      <c r="P58" s="79" t="s">
        <v>402</v>
      </c>
      <c r="Q58" s="79" t="s">
        <v>401</v>
      </c>
      <c r="R58" s="79" t="s">
        <v>392</v>
      </c>
      <c r="S58" s="79" t="s">
        <v>51</v>
      </c>
      <c r="T58" s="79" t="s">
        <v>388</v>
      </c>
      <c r="U58" s="79" t="s">
        <v>386</v>
      </c>
      <c r="V58" s="79" t="s">
        <v>356</v>
      </c>
      <c r="W58" s="79" t="s">
        <v>370</v>
      </c>
      <c r="X58" s="79" t="s">
        <v>396</v>
      </c>
      <c r="Y58" s="79" t="s">
        <v>295</v>
      </c>
      <c r="Z58" s="79" t="s">
        <v>472</v>
      </c>
      <c r="AA58" s="80">
        <v>236</v>
      </c>
      <c r="AB58" s="79" t="s">
        <v>1212</v>
      </c>
      <c r="AC58" s="79" t="s">
        <v>1213</v>
      </c>
    </row>
    <row r="59" spans="1:29" x14ac:dyDescent="0.3">
      <c r="A59" t="s">
        <v>183</v>
      </c>
      <c r="B59" s="77" t="s">
        <v>108</v>
      </c>
      <c r="C59" s="77" t="s">
        <v>29</v>
      </c>
      <c r="D59" s="77" t="s">
        <v>235</v>
      </c>
      <c r="E59" s="77" t="s">
        <v>236</v>
      </c>
      <c r="F59" s="77" t="s">
        <v>237</v>
      </c>
      <c r="G59" s="77" t="s">
        <v>27</v>
      </c>
      <c r="H59" s="77"/>
      <c r="L59" s="78"/>
      <c r="M59" s="79"/>
      <c r="N59" s="79"/>
      <c r="O59" s="79"/>
      <c r="P59" s="79"/>
      <c r="Q59" s="79"/>
      <c r="R59" s="79"/>
      <c r="S59" s="79"/>
      <c r="T59" s="79"/>
      <c r="U59" s="79"/>
      <c r="V59" s="79"/>
      <c r="W59" s="79"/>
      <c r="X59" s="79"/>
      <c r="Y59" s="79"/>
      <c r="Z59" s="79"/>
      <c r="AA59" s="79"/>
      <c r="AB59" s="79"/>
      <c r="AC59" s="79"/>
    </row>
    <row r="60" spans="1:29" x14ac:dyDescent="0.3">
      <c r="A60" t="s">
        <v>183</v>
      </c>
      <c r="B60" s="77" t="s">
        <v>112</v>
      </c>
      <c r="C60" s="77" t="s">
        <v>29</v>
      </c>
      <c r="D60" s="77" t="s">
        <v>233</v>
      </c>
      <c r="E60" s="77" t="s">
        <v>231</v>
      </c>
      <c r="F60" s="77" t="s">
        <v>238</v>
      </c>
      <c r="G60" s="77" t="s">
        <v>74</v>
      </c>
      <c r="H60" s="77"/>
      <c r="L60" s="78"/>
      <c r="M60" s="79"/>
      <c r="N60" s="79"/>
      <c r="O60" s="79"/>
      <c r="P60" s="79"/>
      <c r="Q60" s="79"/>
      <c r="R60" s="79"/>
      <c r="S60" s="79"/>
      <c r="T60" s="79"/>
      <c r="U60" s="79"/>
      <c r="V60" s="79"/>
      <c r="W60" s="79"/>
      <c r="X60" s="79"/>
      <c r="Y60" s="79"/>
      <c r="Z60" s="79"/>
      <c r="AA60" s="79"/>
      <c r="AB60" s="79"/>
      <c r="AC60" s="79"/>
    </row>
    <row r="61" spans="1:29" x14ac:dyDescent="0.3">
      <c r="A61" t="s">
        <v>183</v>
      </c>
      <c r="B61" s="77" t="s">
        <v>116</v>
      </c>
      <c r="C61" s="77" t="s">
        <v>29</v>
      </c>
      <c r="D61" s="77" t="s">
        <v>239</v>
      </c>
      <c r="E61" s="77" t="s">
        <v>240</v>
      </c>
      <c r="F61" s="77" t="s">
        <v>241</v>
      </c>
      <c r="G61" s="77" t="s">
        <v>174</v>
      </c>
      <c r="H61" s="77"/>
      <c r="L61" s="78"/>
      <c r="M61" s="79"/>
      <c r="N61" s="79"/>
      <c r="O61" s="79"/>
      <c r="P61" s="79"/>
      <c r="Q61" s="79"/>
      <c r="R61" s="79"/>
      <c r="S61" s="79"/>
      <c r="T61" s="79"/>
      <c r="U61" s="79"/>
      <c r="V61" s="79"/>
      <c r="W61" s="79"/>
      <c r="X61" s="79"/>
      <c r="Y61" s="79"/>
      <c r="Z61" s="79"/>
      <c r="AA61" s="79"/>
      <c r="AB61" s="79"/>
      <c r="AC61" s="79"/>
    </row>
    <row r="62" spans="1:29" x14ac:dyDescent="0.3">
      <c r="A62" t="s">
        <v>183</v>
      </c>
      <c r="B62" s="77" t="s">
        <v>121</v>
      </c>
      <c r="C62" s="77" t="s">
        <v>29</v>
      </c>
      <c r="D62" s="77" t="s">
        <v>242</v>
      </c>
      <c r="E62" s="77" t="s">
        <v>243</v>
      </c>
      <c r="F62" s="77" t="s">
        <v>241</v>
      </c>
      <c r="G62" s="77" t="s">
        <v>74</v>
      </c>
      <c r="H62" s="77"/>
      <c r="L62" s="78" t="s">
        <v>1214</v>
      </c>
      <c r="M62" s="79"/>
      <c r="N62" s="79"/>
      <c r="O62" s="79"/>
      <c r="P62" s="79"/>
      <c r="Q62" s="79"/>
      <c r="R62" s="79"/>
      <c r="S62" s="79"/>
      <c r="T62" s="79"/>
      <c r="U62" s="79"/>
      <c r="V62" s="79"/>
      <c r="W62" s="79"/>
      <c r="X62" s="79"/>
      <c r="Y62" s="79"/>
      <c r="Z62" s="79"/>
      <c r="AA62" s="79"/>
      <c r="AB62" s="79"/>
      <c r="AC62" s="79"/>
    </row>
    <row r="63" spans="1:29" x14ac:dyDescent="0.3">
      <c r="A63" t="s">
        <v>183</v>
      </c>
      <c r="B63" s="77" t="s">
        <v>125</v>
      </c>
      <c r="C63" s="77" t="s">
        <v>29</v>
      </c>
      <c r="D63" s="77" t="s">
        <v>244</v>
      </c>
      <c r="E63" s="77" t="s">
        <v>245</v>
      </c>
      <c r="F63" s="77" t="s">
        <v>246</v>
      </c>
      <c r="G63" s="77" t="s">
        <v>74</v>
      </c>
      <c r="H63" s="77"/>
    </row>
    <row r="64" spans="1:29" x14ac:dyDescent="0.3">
      <c r="A64" t="s">
        <v>183</v>
      </c>
      <c r="B64" s="77" t="s">
        <v>129</v>
      </c>
      <c r="C64" s="77" t="s">
        <v>29</v>
      </c>
      <c r="D64" s="77" t="s">
        <v>247</v>
      </c>
      <c r="E64" s="77" t="s">
        <v>248</v>
      </c>
      <c r="F64" s="77" t="s">
        <v>249</v>
      </c>
      <c r="G64" s="77" t="s">
        <v>61</v>
      </c>
      <c r="H64" s="77"/>
    </row>
    <row r="65" spans="1:8" x14ac:dyDescent="0.3">
      <c r="A65" t="s">
        <v>183</v>
      </c>
      <c r="B65" s="77" t="s">
        <v>134</v>
      </c>
      <c r="C65" s="77" t="s">
        <v>29</v>
      </c>
      <c r="D65" s="77" t="s">
        <v>250</v>
      </c>
      <c r="E65" s="77" t="s">
        <v>251</v>
      </c>
      <c r="F65" s="77" t="s">
        <v>252</v>
      </c>
      <c r="G65" s="77" t="s">
        <v>61</v>
      </c>
      <c r="H65" s="77"/>
    </row>
    <row r="66" spans="1:8" x14ac:dyDescent="0.3">
      <c r="A66" t="s">
        <v>183</v>
      </c>
      <c r="B66" s="77" t="s">
        <v>138</v>
      </c>
      <c r="C66" s="77" t="s">
        <v>29</v>
      </c>
      <c r="D66" s="77" t="s">
        <v>253</v>
      </c>
      <c r="E66" s="77" t="s">
        <v>254</v>
      </c>
      <c r="F66" s="77" t="s">
        <v>255</v>
      </c>
      <c r="G66" s="77" t="s">
        <v>174</v>
      </c>
      <c r="H66" s="77"/>
    </row>
    <row r="67" spans="1:8" x14ac:dyDescent="0.3">
      <c r="A67" t="s">
        <v>183</v>
      </c>
      <c r="B67" s="77" t="s">
        <v>142</v>
      </c>
      <c r="C67" s="77" t="s">
        <v>29</v>
      </c>
      <c r="D67" s="77" t="s">
        <v>256</v>
      </c>
      <c r="E67" s="77" t="s">
        <v>257</v>
      </c>
      <c r="F67" s="77" t="s">
        <v>258</v>
      </c>
      <c r="G67" s="77" t="s">
        <v>87</v>
      </c>
      <c r="H67" s="77"/>
    </row>
    <row r="68" spans="1:8" x14ac:dyDescent="0.3">
      <c r="A68" t="s">
        <v>183</v>
      </c>
      <c r="B68" s="77" t="s">
        <v>147</v>
      </c>
      <c r="C68" s="77" t="s">
        <v>29</v>
      </c>
      <c r="D68" s="77" t="s">
        <v>259</v>
      </c>
      <c r="E68" s="77" t="s">
        <v>260</v>
      </c>
      <c r="F68" s="77" t="s">
        <v>261</v>
      </c>
      <c r="G68" s="77" t="s">
        <v>56</v>
      </c>
      <c r="H68" s="77"/>
    </row>
    <row r="69" spans="1:8" x14ac:dyDescent="0.3">
      <c r="A69" t="s">
        <v>183</v>
      </c>
      <c r="B69" s="77" t="s">
        <v>151</v>
      </c>
      <c r="C69" s="77" t="s">
        <v>29</v>
      </c>
      <c r="D69" s="77" t="s">
        <v>262</v>
      </c>
      <c r="E69" s="77" t="s">
        <v>263</v>
      </c>
      <c r="F69" s="77" t="s">
        <v>264</v>
      </c>
      <c r="G69" s="77" t="s">
        <v>74</v>
      </c>
      <c r="H69" s="77"/>
    </row>
    <row r="70" spans="1:8" x14ac:dyDescent="0.3">
      <c r="A70" t="s">
        <v>183</v>
      </c>
      <c r="B70" s="77" t="s">
        <v>155</v>
      </c>
      <c r="C70" s="77" t="s">
        <v>29</v>
      </c>
      <c r="D70" s="77" t="s">
        <v>265</v>
      </c>
      <c r="E70" s="77" t="s">
        <v>266</v>
      </c>
      <c r="F70" s="77" t="s">
        <v>267</v>
      </c>
      <c r="G70" s="77" t="s">
        <v>74</v>
      </c>
      <c r="H70" s="77"/>
    </row>
    <row r="71" spans="1:8" x14ac:dyDescent="0.3">
      <c r="A71" t="s">
        <v>183</v>
      </c>
      <c r="B71" s="77" t="s">
        <v>159</v>
      </c>
      <c r="C71" s="77" t="s">
        <v>29</v>
      </c>
      <c r="D71" s="77" t="s">
        <v>268</v>
      </c>
      <c r="E71" s="77" t="s">
        <v>260</v>
      </c>
      <c r="F71" s="77" t="s">
        <v>269</v>
      </c>
      <c r="G71" s="77" t="s">
        <v>56</v>
      </c>
      <c r="H71" s="77"/>
    </row>
    <row r="72" spans="1:8" x14ac:dyDescent="0.3">
      <c r="A72" t="s">
        <v>183</v>
      </c>
      <c r="B72" s="77" t="s">
        <v>163</v>
      </c>
      <c r="C72" s="77" t="s">
        <v>29</v>
      </c>
      <c r="D72" s="77" t="s">
        <v>270</v>
      </c>
      <c r="E72" s="77" t="s">
        <v>271</v>
      </c>
      <c r="F72" s="77" t="s">
        <v>272</v>
      </c>
      <c r="G72" s="77" t="s">
        <v>74</v>
      </c>
      <c r="H72" s="77"/>
    </row>
    <row r="73" spans="1:8" x14ac:dyDescent="0.3">
      <c r="A73" t="s">
        <v>183</v>
      </c>
      <c r="B73" s="77" t="s">
        <v>166</v>
      </c>
      <c r="C73" s="77" t="s">
        <v>29</v>
      </c>
      <c r="D73" s="77" t="s">
        <v>273</v>
      </c>
      <c r="E73" s="77" t="s">
        <v>274</v>
      </c>
      <c r="F73" s="77" t="s">
        <v>275</v>
      </c>
      <c r="G73" s="77" t="s">
        <v>74</v>
      </c>
      <c r="H73" s="77"/>
    </row>
    <row r="74" spans="1:8" x14ac:dyDescent="0.3">
      <c r="A74" t="s">
        <v>183</v>
      </c>
      <c r="B74" s="77" t="s">
        <v>170</v>
      </c>
      <c r="C74" s="77" t="s">
        <v>29</v>
      </c>
      <c r="D74" s="77" t="s">
        <v>276</v>
      </c>
      <c r="E74" s="77" t="s">
        <v>277</v>
      </c>
      <c r="F74" s="77" t="s">
        <v>278</v>
      </c>
      <c r="G74" s="77" t="s">
        <v>56</v>
      </c>
      <c r="H74" s="77"/>
    </row>
    <row r="75" spans="1:8" x14ac:dyDescent="0.3">
      <c r="A75" t="s">
        <v>183</v>
      </c>
      <c r="B75" s="77" t="s">
        <v>175</v>
      </c>
      <c r="C75" s="77" t="s">
        <v>29</v>
      </c>
      <c r="D75" s="77" t="s">
        <v>279</v>
      </c>
      <c r="E75" s="77" t="s">
        <v>280</v>
      </c>
      <c r="F75" s="77" t="s">
        <v>281</v>
      </c>
      <c r="G75" s="77" t="s">
        <v>74</v>
      </c>
      <c r="H75" s="77"/>
    </row>
    <row r="76" spans="1:8" x14ac:dyDescent="0.3">
      <c r="A76" t="s">
        <v>183</v>
      </c>
      <c r="B76" s="77" t="s">
        <v>179</v>
      </c>
      <c r="C76" s="77" t="s">
        <v>29</v>
      </c>
      <c r="D76" s="77" t="s">
        <v>282</v>
      </c>
      <c r="E76" s="77" t="s">
        <v>283</v>
      </c>
      <c r="F76" s="77" t="s">
        <v>284</v>
      </c>
      <c r="G76" s="77" t="s">
        <v>74</v>
      </c>
      <c r="H76" s="77"/>
    </row>
    <row r="77" spans="1:8" x14ac:dyDescent="0.3">
      <c r="A77" t="s">
        <v>285</v>
      </c>
      <c r="B77" s="77" t="s">
        <v>33</v>
      </c>
      <c r="C77" s="77" t="s">
        <v>29</v>
      </c>
      <c r="D77" s="77" t="s">
        <v>286</v>
      </c>
      <c r="E77" s="77" t="s">
        <v>287</v>
      </c>
      <c r="F77" s="77" t="s">
        <v>288</v>
      </c>
      <c r="G77" s="77" t="s">
        <v>56</v>
      </c>
      <c r="H77" s="77"/>
    </row>
    <row r="78" spans="1:8" x14ac:dyDescent="0.3">
      <c r="A78" t="s">
        <v>285</v>
      </c>
      <c r="B78" s="77" t="s">
        <v>38</v>
      </c>
      <c r="C78" s="77" t="s">
        <v>29</v>
      </c>
      <c r="D78" s="77" t="s">
        <v>289</v>
      </c>
      <c r="E78" s="77" t="s">
        <v>290</v>
      </c>
      <c r="F78" s="77" t="s">
        <v>291</v>
      </c>
      <c r="G78" s="77" t="s">
        <v>27</v>
      </c>
      <c r="H78" s="77"/>
    </row>
    <row r="79" spans="1:8" x14ac:dyDescent="0.3">
      <c r="A79" t="s">
        <v>285</v>
      </c>
      <c r="B79" s="77" t="s">
        <v>43</v>
      </c>
      <c r="C79" s="77" t="s">
        <v>29</v>
      </c>
      <c r="D79" s="77" t="s">
        <v>292</v>
      </c>
      <c r="E79" s="77" t="s">
        <v>293</v>
      </c>
      <c r="F79" s="77" t="s">
        <v>294</v>
      </c>
      <c r="G79" s="77" t="s">
        <v>27</v>
      </c>
      <c r="H79" s="77"/>
    </row>
    <row r="80" spans="1:8" x14ac:dyDescent="0.3">
      <c r="A80" t="s">
        <v>285</v>
      </c>
      <c r="B80" s="77" t="s">
        <v>47</v>
      </c>
      <c r="C80" s="77" t="s">
        <v>29</v>
      </c>
      <c r="D80" s="77" t="s">
        <v>257</v>
      </c>
      <c r="E80" s="77" t="s">
        <v>295</v>
      </c>
      <c r="F80" s="77" t="s">
        <v>296</v>
      </c>
      <c r="G80" s="77" t="s">
        <v>27</v>
      </c>
      <c r="H80" s="77"/>
    </row>
    <row r="81" spans="1:8" x14ac:dyDescent="0.3">
      <c r="A81" t="s">
        <v>285</v>
      </c>
      <c r="B81" s="77" t="s">
        <v>52</v>
      </c>
      <c r="C81" s="77" t="s">
        <v>29</v>
      </c>
      <c r="D81" s="77" t="s">
        <v>297</v>
      </c>
      <c r="E81" s="77" t="s">
        <v>298</v>
      </c>
      <c r="F81" s="77" t="s">
        <v>299</v>
      </c>
      <c r="G81" s="77" t="s">
        <v>27</v>
      </c>
      <c r="H81" s="77"/>
    </row>
    <row r="82" spans="1:8" x14ac:dyDescent="0.3">
      <c r="A82" t="s">
        <v>285</v>
      </c>
      <c r="B82" s="77" t="s">
        <v>57</v>
      </c>
      <c r="C82" s="77" t="s">
        <v>29</v>
      </c>
      <c r="D82" s="77" t="s">
        <v>300</v>
      </c>
      <c r="E82" s="77" t="s">
        <v>301</v>
      </c>
      <c r="F82" s="77" t="s">
        <v>302</v>
      </c>
      <c r="G82" s="77" t="s">
        <v>27</v>
      </c>
      <c r="H82" s="77"/>
    </row>
    <row r="83" spans="1:8" x14ac:dyDescent="0.3">
      <c r="A83" t="s">
        <v>285</v>
      </c>
      <c r="B83" s="77" t="s">
        <v>62</v>
      </c>
      <c r="C83" s="77" t="s">
        <v>29</v>
      </c>
      <c r="D83" s="77" t="s">
        <v>303</v>
      </c>
      <c r="E83" s="77" t="s">
        <v>304</v>
      </c>
      <c r="F83" s="77" t="s">
        <v>305</v>
      </c>
      <c r="G83" s="77" t="s">
        <v>27</v>
      </c>
      <c r="H83" s="77"/>
    </row>
    <row r="84" spans="1:8" x14ac:dyDescent="0.3">
      <c r="A84" t="s">
        <v>285</v>
      </c>
      <c r="B84" s="77" t="s">
        <v>66</v>
      </c>
      <c r="C84" s="77" t="s">
        <v>29</v>
      </c>
      <c r="D84" s="77" t="s">
        <v>306</v>
      </c>
      <c r="E84" s="77" t="s">
        <v>305</v>
      </c>
      <c r="F84" s="77" t="s">
        <v>307</v>
      </c>
      <c r="G84" s="77" t="s">
        <v>27</v>
      </c>
      <c r="H84" s="77"/>
    </row>
    <row r="85" spans="1:8" x14ac:dyDescent="0.3">
      <c r="A85" t="s">
        <v>285</v>
      </c>
      <c r="B85" s="77" t="s">
        <v>70</v>
      </c>
      <c r="C85" s="77" t="s">
        <v>29</v>
      </c>
      <c r="D85" s="77" t="s">
        <v>308</v>
      </c>
      <c r="E85" s="77" t="s">
        <v>309</v>
      </c>
      <c r="F85" s="77" t="s">
        <v>310</v>
      </c>
      <c r="G85" s="77" t="s">
        <v>27</v>
      </c>
      <c r="H85" s="77"/>
    </row>
    <row r="86" spans="1:8" x14ac:dyDescent="0.3">
      <c r="A86" t="s">
        <v>285</v>
      </c>
      <c r="B86" s="77" t="s">
        <v>75</v>
      </c>
      <c r="C86" s="77" t="s">
        <v>29</v>
      </c>
      <c r="D86" s="77" t="s">
        <v>311</v>
      </c>
      <c r="E86" s="77" t="s">
        <v>312</v>
      </c>
      <c r="F86" s="77" t="s">
        <v>313</v>
      </c>
      <c r="G86" s="77" t="s">
        <v>74</v>
      </c>
      <c r="H86" s="77"/>
    </row>
    <row r="87" spans="1:8" x14ac:dyDescent="0.3">
      <c r="A87" t="s">
        <v>285</v>
      </c>
      <c r="B87" s="77" t="s">
        <v>79</v>
      </c>
      <c r="C87" s="77" t="s">
        <v>29</v>
      </c>
      <c r="D87" s="77" t="s">
        <v>314</v>
      </c>
      <c r="E87" s="77" t="s">
        <v>315</v>
      </c>
      <c r="F87" s="77" t="s">
        <v>316</v>
      </c>
      <c r="G87" s="77" t="s">
        <v>27</v>
      </c>
      <c r="H87" s="77"/>
    </row>
    <row r="88" spans="1:8" x14ac:dyDescent="0.3">
      <c r="A88" t="s">
        <v>285</v>
      </c>
      <c r="B88" s="77" t="s">
        <v>83</v>
      </c>
      <c r="C88" s="77" t="s">
        <v>29</v>
      </c>
      <c r="D88" s="77" t="s">
        <v>317</v>
      </c>
      <c r="E88" s="77" t="s">
        <v>318</v>
      </c>
      <c r="F88" s="77" t="s">
        <v>319</v>
      </c>
      <c r="G88" s="77" t="s">
        <v>27</v>
      </c>
      <c r="H88" s="77"/>
    </row>
    <row r="89" spans="1:8" x14ac:dyDescent="0.3">
      <c r="A89" t="s">
        <v>285</v>
      </c>
      <c r="B89" s="77" t="s">
        <v>88</v>
      </c>
      <c r="C89" s="77" t="s">
        <v>29</v>
      </c>
      <c r="D89" s="77" t="s">
        <v>320</v>
      </c>
      <c r="E89" s="77" t="s">
        <v>321</v>
      </c>
      <c r="F89" s="77" t="s">
        <v>322</v>
      </c>
      <c r="G89" s="77" t="s">
        <v>27</v>
      </c>
      <c r="H89" s="77"/>
    </row>
    <row r="90" spans="1:8" x14ac:dyDescent="0.3">
      <c r="A90" t="s">
        <v>285</v>
      </c>
      <c r="B90" s="77" t="s">
        <v>92</v>
      </c>
      <c r="C90" s="77" t="s">
        <v>29</v>
      </c>
      <c r="D90" s="77" t="s">
        <v>323</v>
      </c>
      <c r="E90" s="77" t="s">
        <v>324</v>
      </c>
      <c r="F90" s="77" t="s">
        <v>325</v>
      </c>
      <c r="G90" s="77" t="s">
        <v>27</v>
      </c>
      <c r="H90" s="77"/>
    </row>
    <row r="91" spans="1:8" x14ac:dyDescent="0.3">
      <c r="A91" t="s">
        <v>285</v>
      </c>
      <c r="B91" s="77" t="s">
        <v>96</v>
      </c>
      <c r="C91" s="77" t="s">
        <v>29</v>
      </c>
      <c r="D91" s="77" t="s">
        <v>326</v>
      </c>
      <c r="E91" s="77" t="s">
        <v>327</v>
      </c>
      <c r="F91" s="77" t="s">
        <v>328</v>
      </c>
      <c r="G91" s="77" t="s">
        <v>27</v>
      </c>
      <c r="H91" s="77"/>
    </row>
    <row r="92" spans="1:8" x14ac:dyDescent="0.3">
      <c r="A92" t="s">
        <v>285</v>
      </c>
      <c r="B92" s="77" t="s">
        <v>100</v>
      </c>
      <c r="C92" s="77" t="s">
        <v>29</v>
      </c>
      <c r="D92" s="77" t="s">
        <v>323</v>
      </c>
      <c r="E92" s="77" t="s">
        <v>324</v>
      </c>
      <c r="F92" s="77" t="s">
        <v>325</v>
      </c>
      <c r="G92" s="77" t="s">
        <v>27</v>
      </c>
      <c r="H92" s="77"/>
    </row>
    <row r="93" spans="1:8" x14ac:dyDescent="0.3">
      <c r="A93" t="s">
        <v>285</v>
      </c>
      <c r="B93" s="77" t="s">
        <v>104</v>
      </c>
      <c r="C93" s="77" t="s">
        <v>29</v>
      </c>
      <c r="D93" s="77" t="s">
        <v>329</v>
      </c>
      <c r="E93" s="77" t="s">
        <v>330</v>
      </c>
      <c r="F93" s="77" t="s">
        <v>331</v>
      </c>
      <c r="G93" s="77" t="s">
        <v>27</v>
      </c>
      <c r="H93" s="77"/>
    </row>
    <row r="94" spans="1:8" x14ac:dyDescent="0.3">
      <c r="A94" t="s">
        <v>285</v>
      </c>
      <c r="B94" s="77" t="s">
        <v>108</v>
      </c>
      <c r="C94" s="77" t="s">
        <v>29</v>
      </c>
      <c r="D94" s="77" t="s">
        <v>332</v>
      </c>
      <c r="E94" s="77" t="s">
        <v>328</v>
      </c>
      <c r="F94" s="77" t="s">
        <v>333</v>
      </c>
      <c r="G94" s="77" t="s">
        <v>27</v>
      </c>
      <c r="H94" s="77"/>
    </row>
    <row r="95" spans="1:8" x14ac:dyDescent="0.3">
      <c r="A95" t="s">
        <v>285</v>
      </c>
      <c r="B95" s="77" t="s">
        <v>112</v>
      </c>
      <c r="C95" s="77" t="s">
        <v>29</v>
      </c>
      <c r="D95" s="77" t="s">
        <v>317</v>
      </c>
      <c r="E95" s="77" t="s">
        <v>334</v>
      </c>
      <c r="F95" s="77" t="s">
        <v>335</v>
      </c>
      <c r="G95" s="77" t="s">
        <v>27</v>
      </c>
      <c r="H95" s="77"/>
    </row>
    <row r="96" spans="1:8" x14ac:dyDescent="0.3">
      <c r="A96" t="s">
        <v>285</v>
      </c>
      <c r="B96" s="77" t="s">
        <v>116</v>
      </c>
      <c r="C96" s="77" t="s">
        <v>29</v>
      </c>
      <c r="D96" s="77" t="s">
        <v>284</v>
      </c>
      <c r="E96" s="77" t="s">
        <v>316</v>
      </c>
      <c r="F96" s="77" t="s">
        <v>336</v>
      </c>
      <c r="G96" s="77" t="s">
        <v>27</v>
      </c>
      <c r="H96" s="77"/>
    </row>
    <row r="97" spans="1:8" x14ac:dyDescent="0.3">
      <c r="A97" t="s">
        <v>285</v>
      </c>
      <c r="B97" s="77" t="s">
        <v>121</v>
      </c>
      <c r="C97" s="77" t="s">
        <v>29</v>
      </c>
      <c r="D97" s="77" t="s">
        <v>337</v>
      </c>
      <c r="E97" s="77" t="s">
        <v>315</v>
      </c>
      <c r="F97" s="77" t="s">
        <v>338</v>
      </c>
      <c r="G97" s="77" t="s">
        <v>27</v>
      </c>
      <c r="H97" s="77"/>
    </row>
    <row r="98" spans="1:8" x14ac:dyDescent="0.3">
      <c r="A98" t="s">
        <v>285</v>
      </c>
      <c r="B98" s="77" t="s">
        <v>125</v>
      </c>
      <c r="C98" s="77" t="s">
        <v>29</v>
      </c>
      <c r="D98" s="77" t="s">
        <v>339</v>
      </c>
      <c r="E98" s="77" t="s">
        <v>313</v>
      </c>
      <c r="F98" s="77" t="s">
        <v>322</v>
      </c>
      <c r="G98" s="77" t="s">
        <v>27</v>
      </c>
      <c r="H98" s="77"/>
    </row>
    <row r="99" spans="1:8" x14ac:dyDescent="0.3">
      <c r="A99" t="s">
        <v>285</v>
      </c>
      <c r="B99" s="77" t="s">
        <v>129</v>
      </c>
      <c r="C99" s="77" t="s">
        <v>29</v>
      </c>
      <c r="D99" s="77" t="s">
        <v>340</v>
      </c>
      <c r="E99" s="77" t="s">
        <v>325</v>
      </c>
      <c r="F99" s="77" t="s">
        <v>335</v>
      </c>
      <c r="G99" s="77" t="s">
        <v>27</v>
      </c>
      <c r="H99" s="77"/>
    </row>
    <row r="100" spans="1:8" x14ac:dyDescent="0.3">
      <c r="A100" t="s">
        <v>285</v>
      </c>
      <c r="B100" s="77" t="s">
        <v>134</v>
      </c>
      <c r="C100" s="77" t="s">
        <v>29</v>
      </c>
      <c r="D100" s="77" t="s">
        <v>341</v>
      </c>
      <c r="E100" s="77" t="s">
        <v>328</v>
      </c>
      <c r="F100" s="77" t="s">
        <v>342</v>
      </c>
      <c r="G100" s="77" t="s">
        <v>27</v>
      </c>
      <c r="H100" s="77"/>
    </row>
    <row r="101" spans="1:8" x14ac:dyDescent="0.3">
      <c r="A101" t="s">
        <v>285</v>
      </c>
      <c r="B101" s="77" t="s">
        <v>138</v>
      </c>
      <c r="C101" s="77" t="s">
        <v>29</v>
      </c>
      <c r="D101" s="77" t="s">
        <v>343</v>
      </c>
      <c r="E101" s="77" t="s">
        <v>336</v>
      </c>
      <c r="F101" s="77" t="s">
        <v>342</v>
      </c>
      <c r="G101" s="77" t="s">
        <v>27</v>
      </c>
      <c r="H101" s="77"/>
    </row>
    <row r="102" spans="1:8" x14ac:dyDescent="0.3">
      <c r="A102" t="s">
        <v>285</v>
      </c>
      <c r="B102" s="77" t="s">
        <v>142</v>
      </c>
      <c r="C102" s="77" t="s">
        <v>29</v>
      </c>
      <c r="D102" s="77" t="s">
        <v>305</v>
      </c>
      <c r="E102" s="77" t="s">
        <v>344</v>
      </c>
      <c r="F102" s="77" t="s">
        <v>345</v>
      </c>
      <c r="G102" s="77" t="s">
        <v>27</v>
      </c>
      <c r="H102" s="77"/>
    </row>
    <row r="103" spans="1:8" x14ac:dyDescent="0.3">
      <c r="A103" t="s">
        <v>285</v>
      </c>
      <c r="B103" s="77" t="s">
        <v>147</v>
      </c>
      <c r="C103" s="77" t="s">
        <v>29</v>
      </c>
      <c r="D103" s="77" t="s">
        <v>346</v>
      </c>
      <c r="E103" s="77" t="s">
        <v>325</v>
      </c>
      <c r="F103" s="77" t="s">
        <v>342</v>
      </c>
      <c r="G103" s="77" t="s">
        <v>27</v>
      </c>
      <c r="H103" s="77"/>
    </row>
    <row r="104" spans="1:8" x14ac:dyDescent="0.3">
      <c r="A104" t="s">
        <v>285</v>
      </c>
      <c r="B104" s="77" t="s">
        <v>151</v>
      </c>
      <c r="C104" s="77" t="s">
        <v>29</v>
      </c>
      <c r="D104" s="77" t="s">
        <v>347</v>
      </c>
      <c r="E104" s="77" t="s">
        <v>348</v>
      </c>
      <c r="F104" s="77" t="s">
        <v>349</v>
      </c>
      <c r="G104" s="77" t="s">
        <v>27</v>
      </c>
      <c r="H104" s="77"/>
    </row>
    <row r="105" spans="1:8" x14ac:dyDescent="0.3">
      <c r="A105" t="s">
        <v>285</v>
      </c>
      <c r="B105" s="77" t="s">
        <v>155</v>
      </c>
      <c r="C105" s="77" t="s">
        <v>29</v>
      </c>
      <c r="D105" s="77" t="s">
        <v>346</v>
      </c>
      <c r="E105" s="77" t="s">
        <v>350</v>
      </c>
      <c r="F105" s="77" t="s">
        <v>335</v>
      </c>
      <c r="G105" s="77" t="s">
        <v>27</v>
      </c>
      <c r="H105" s="77"/>
    </row>
    <row r="106" spans="1:8" x14ac:dyDescent="0.3">
      <c r="A106" t="s">
        <v>285</v>
      </c>
      <c r="B106" s="77" t="s">
        <v>159</v>
      </c>
      <c r="C106" s="77" t="s">
        <v>29</v>
      </c>
      <c r="D106" s="77" t="s">
        <v>305</v>
      </c>
      <c r="E106" s="77" t="s">
        <v>351</v>
      </c>
      <c r="F106" s="77" t="s">
        <v>351</v>
      </c>
      <c r="G106" s="77" t="s">
        <v>27</v>
      </c>
      <c r="H106" s="77"/>
    </row>
    <row r="107" spans="1:8" x14ac:dyDescent="0.3">
      <c r="A107" t="s">
        <v>285</v>
      </c>
      <c r="B107" s="77" t="s">
        <v>163</v>
      </c>
      <c r="C107" s="77" t="s">
        <v>29</v>
      </c>
      <c r="D107" s="77" t="s">
        <v>352</v>
      </c>
      <c r="E107" s="77" t="s">
        <v>345</v>
      </c>
      <c r="F107" s="77" t="s">
        <v>353</v>
      </c>
      <c r="G107" s="77" t="s">
        <v>27</v>
      </c>
      <c r="H107" s="77"/>
    </row>
    <row r="108" spans="1:8" x14ac:dyDescent="0.3">
      <c r="A108" t="s">
        <v>285</v>
      </c>
      <c r="B108" s="77" t="s">
        <v>166</v>
      </c>
      <c r="C108" s="77" t="s">
        <v>29</v>
      </c>
      <c r="D108" s="77" t="s">
        <v>354</v>
      </c>
      <c r="E108" s="77" t="s">
        <v>355</v>
      </c>
      <c r="F108" s="77" t="s">
        <v>349</v>
      </c>
      <c r="G108" s="77" t="s">
        <v>27</v>
      </c>
      <c r="H108" s="77"/>
    </row>
    <row r="109" spans="1:8" x14ac:dyDescent="0.3">
      <c r="A109" t="s">
        <v>285</v>
      </c>
      <c r="B109" s="77" t="s">
        <v>170</v>
      </c>
      <c r="C109" s="77" t="s">
        <v>29</v>
      </c>
      <c r="D109" s="77" t="s">
        <v>331</v>
      </c>
      <c r="E109" s="77" t="s">
        <v>349</v>
      </c>
      <c r="F109" s="77" t="s">
        <v>356</v>
      </c>
      <c r="G109" s="77" t="s">
        <v>27</v>
      </c>
      <c r="H109" s="77"/>
    </row>
    <row r="110" spans="1:8" x14ac:dyDescent="0.3">
      <c r="A110" t="s">
        <v>285</v>
      </c>
      <c r="B110" s="77" t="s">
        <v>175</v>
      </c>
      <c r="C110" s="77" t="s">
        <v>29</v>
      </c>
      <c r="D110" s="77" t="s">
        <v>357</v>
      </c>
      <c r="E110" s="77" t="s">
        <v>342</v>
      </c>
      <c r="F110" s="77" t="s">
        <v>345</v>
      </c>
      <c r="G110" s="77" t="s">
        <v>27</v>
      </c>
      <c r="H110" s="77"/>
    </row>
    <row r="111" spans="1:8" x14ac:dyDescent="0.3">
      <c r="A111" t="s">
        <v>285</v>
      </c>
      <c r="B111" s="77" t="s">
        <v>179</v>
      </c>
      <c r="C111" s="77" t="s">
        <v>29</v>
      </c>
      <c r="D111" s="77" t="s">
        <v>318</v>
      </c>
      <c r="E111" s="77" t="s">
        <v>353</v>
      </c>
      <c r="F111" s="77" t="s">
        <v>120</v>
      </c>
      <c r="G111" s="77" t="s">
        <v>27</v>
      </c>
      <c r="H111" s="77"/>
    </row>
    <row r="112" spans="1:8" x14ac:dyDescent="0.3">
      <c r="A112" t="s">
        <v>358</v>
      </c>
      <c r="B112" s="77" t="s">
        <v>33</v>
      </c>
      <c r="C112" s="77" t="s">
        <v>29</v>
      </c>
      <c r="D112" s="77" t="s">
        <v>359</v>
      </c>
      <c r="E112" s="77" t="s">
        <v>360</v>
      </c>
      <c r="F112" s="77" t="s">
        <v>312</v>
      </c>
      <c r="G112" s="77" t="s">
        <v>27</v>
      </c>
      <c r="H112" s="77"/>
    </row>
    <row r="113" spans="1:8" x14ac:dyDescent="0.3">
      <c r="A113" t="s">
        <v>358</v>
      </c>
      <c r="B113" s="77" t="s">
        <v>38</v>
      </c>
      <c r="C113" s="77" t="s">
        <v>29</v>
      </c>
      <c r="D113" s="77" t="s">
        <v>361</v>
      </c>
      <c r="E113" s="77" t="s">
        <v>333</v>
      </c>
      <c r="F113" s="77" t="s">
        <v>362</v>
      </c>
      <c r="G113" s="77" t="s">
        <v>27</v>
      </c>
      <c r="H113" s="77"/>
    </row>
    <row r="114" spans="1:8" x14ac:dyDescent="0.3">
      <c r="A114" t="s">
        <v>358</v>
      </c>
      <c r="B114" s="77" t="s">
        <v>43</v>
      </c>
      <c r="C114" s="77" t="s">
        <v>29</v>
      </c>
      <c r="D114" s="77" t="s">
        <v>363</v>
      </c>
      <c r="E114" s="77" t="s">
        <v>364</v>
      </c>
      <c r="F114" s="77" t="s">
        <v>365</v>
      </c>
      <c r="G114" s="77" t="s">
        <v>27</v>
      </c>
      <c r="H114" s="77"/>
    </row>
    <row r="115" spans="1:8" x14ac:dyDescent="0.3">
      <c r="A115" t="s">
        <v>358</v>
      </c>
      <c r="B115" s="77" t="s">
        <v>47</v>
      </c>
      <c r="C115" s="77" t="s">
        <v>29</v>
      </c>
      <c r="D115" s="77" t="s">
        <v>293</v>
      </c>
      <c r="E115" s="77" t="s">
        <v>364</v>
      </c>
      <c r="F115" s="77" t="s">
        <v>330</v>
      </c>
      <c r="G115" s="77" t="s">
        <v>27</v>
      </c>
      <c r="H115" s="77"/>
    </row>
    <row r="116" spans="1:8" x14ac:dyDescent="0.3">
      <c r="A116" t="s">
        <v>358</v>
      </c>
      <c r="B116" s="77" t="s">
        <v>52</v>
      </c>
      <c r="C116" s="77" t="s">
        <v>29</v>
      </c>
      <c r="D116" s="77" t="s">
        <v>339</v>
      </c>
      <c r="E116" s="77" t="s">
        <v>335</v>
      </c>
      <c r="F116" s="77" t="s">
        <v>321</v>
      </c>
      <c r="G116" s="77" t="s">
        <v>27</v>
      </c>
      <c r="H116" s="77"/>
    </row>
    <row r="117" spans="1:8" x14ac:dyDescent="0.3">
      <c r="A117" t="s">
        <v>358</v>
      </c>
      <c r="B117" s="77" t="s">
        <v>57</v>
      </c>
      <c r="C117" s="77" t="s">
        <v>29</v>
      </c>
      <c r="D117" s="77" t="s">
        <v>332</v>
      </c>
      <c r="E117" s="77" t="s">
        <v>324</v>
      </c>
      <c r="F117" s="77" t="s">
        <v>366</v>
      </c>
      <c r="G117" s="77" t="s">
        <v>27</v>
      </c>
      <c r="H117" s="77"/>
    </row>
    <row r="118" spans="1:8" x14ac:dyDescent="0.3">
      <c r="A118" t="s">
        <v>358</v>
      </c>
      <c r="B118" s="77" t="s">
        <v>62</v>
      </c>
      <c r="C118" s="77" t="s">
        <v>29</v>
      </c>
      <c r="D118" s="77" t="s">
        <v>367</v>
      </c>
      <c r="E118" s="77" t="s">
        <v>355</v>
      </c>
      <c r="F118" s="77" t="s">
        <v>351</v>
      </c>
      <c r="G118" s="77" t="s">
        <v>27</v>
      </c>
      <c r="H118" s="77"/>
    </row>
    <row r="119" spans="1:8" x14ac:dyDescent="0.3">
      <c r="A119" t="s">
        <v>358</v>
      </c>
      <c r="B119" s="77" t="s">
        <v>66</v>
      </c>
      <c r="C119" s="77" t="s">
        <v>29</v>
      </c>
      <c r="D119" s="77" t="s">
        <v>368</v>
      </c>
      <c r="E119" s="77" t="s">
        <v>325</v>
      </c>
      <c r="F119" s="77" t="s">
        <v>351</v>
      </c>
      <c r="G119" s="77" t="s">
        <v>27</v>
      </c>
      <c r="H119" s="77"/>
    </row>
    <row r="120" spans="1:8" x14ac:dyDescent="0.3">
      <c r="A120" t="s">
        <v>358</v>
      </c>
      <c r="B120" s="77" t="s">
        <v>70</v>
      </c>
      <c r="C120" s="77" t="s">
        <v>29</v>
      </c>
      <c r="D120" s="77" t="s">
        <v>369</v>
      </c>
      <c r="E120" s="77" t="s">
        <v>370</v>
      </c>
      <c r="F120" s="77" t="s">
        <v>371</v>
      </c>
      <c r="G120" s="77" t="s">
        <v>27</v>
      </c>
      <c r="H120" s="77"/>
    </row>
    <row r="121" spans="1:8" x14ac:dyDescent="0.3">
      <c r="A121" t="s">
        <v>358</v>
      </c>
      <c r="B121" s="77" t="s">
        <v>75</v>
      </c>
      <c r="C121" s="77" t="s">
        <v>29</v>
      </c>
      <c r="D121" s="77" t="s">
        <v>316</v>
      </c>
      <c r="E121" s="77" t="s">
        <v>350</v>
      </c>
      <c r="F121" s="77" t="s">
        <v>353</v>
      </c>
      <c r="G121" s="77" t="s">
        <v>27</v>
      </c>
      <c r="H121" s="77"/>
    </row>
    <row r="122" spans="1:8" x14ac:dyDescent="0.3">
      <c r="A122" t="s">
        <v>358</v>
      </c>
      <c r="B122" s="77" t="s">
        <v>79</v>
      </c>
      <c r="C122" s="77" t="s">
        <v>29</v>
      </c>
      <c r="D122" s="77" t="s">
        <v>338</v>
      </c>
      <c r="E122" s="77" t="s">
        <v>372</v>
      </c>
      <c r="F122" s="77" t="s">
        <v>372</v>
      </c>
      <c r="G122" s="77" t="s">
        <v>27</v>
      </c>
      <c r="H122" s="77"/>
    </row>
    <row r="123" spans="1:8" x14ac:dyDescent="0.3">
      <c r="A123" t="s">
        <v>358</v>
      </c>
      <c r="B123" s="77" t="s">
        <v>83</v>
      </c>
      <c r="C123" s="77" t="s">
        <v>29</v>
      </c>
      <c r="D123" s="77" t="s">
        <v>344</v>
      </c>
      <c r="E123" s="77" t="s">
        <v>120</v>
      </c>
      <c r="F123" s="77" t="s">
        <v>373</v>
      </c>
      <c r="G123" s="77" t="s">
        <v>27</v>
      </c>
      <c r="H123" s="77"/>
    </row>
    <row r="124" spans="1:8" x14ac:dyDescent="0.3">
      <c r="A124" t="s">
        <v>358</v>
      </c>
      <c r="B124" s="77" t="s">
        <v>88</v>
      </c>
      <c r="C124" s="77" t="s">
        <v>29</v>
      </c>
      <c r="D124" s="77" t="s">
        <v>336</v>
      </c>
      <c r="E124" s="77" t="s">
        <v>374</v>
      </c>
      <c r="F124" s="77" t="s">
        <v>372</v>
      </c>
      <c r="G124" s="77" t="s">
        <v>27</v>
      </c>
      <c r="H124" s="77"/>
    </row>
    <row r="125" spans="1:8" x14ac:dyDescent="0.3">
      <c r="A125" t="s">
        <v>358</v>
      </c>
      <c r="B125" s="77" t="s">
        <v>92</v>
      </c>
      <c r="C125" s="77" t="s">
        <v>29</v>
      </c>
      <c r="D125" s="77" t="s">
        <v>366</v>
      </c>
      <c r="E125" s="77" t="s">
        <v>371</v>
      </c>
      <c r="F125" s="77" t="s">
        <v>375</v>
      </c>
      <c r="G125" s="77" t="s">
        <v>27</v>
      </c>
      <c r="H125" s="77"/>
    </row>
    <row r="126" spans="1:8" x14ac:dyDescent="0.3">
      <c r="A126" t="s">
        <v>358</v>
      </c>
      <c r="B126" s="77" t="s">
        <v>96</v>
      </c>
      <c r="C126" s="77" t="s">
        <v>29</v>
      </c>
      <c r="D126" s="77" t="s">
        <v>333</v>
      </c>
      <c r="E126" s="77" t="s">
        <v>370</v>
      </c>
      <c r="F126" s="77" t="s">
        <v>120</v>
      </c>
      <c r="G126" s="77" t="s">
        <v>27</v>
      </c>
      <c r="H126" s="77"/>
    </row>
    <row r="127" spans="1:8" x14ac:dyDescent="0.3">
      <c r="A127" t="s">
        <v>358</v>
      </c>
      <c r="B127" s="77" t="s">
        <v>100</v>
      </c>
      <c r="C127" s="77" t="s">
        <v>29</v>
      </c>
      <c r="D127" s="77" t="s">
        <v>322</v>
      </c>
      <c r="E127" s="77" t="s">
        <v>374</v>
      </c>
      <c r="F127" s="77" t="s">
        <v>376</v>
      </c>
      <c r="G127" s="77" t="s">
        <v>27</v>
      </c>
      <c r="H127" s="77"/>
    </row>
    <row r="128" spans="1:8" x14ac:dyDescent="0.3">
      <c r="A128" t="s">
        <v>358</v>
      </c>
      <c r="B128" s="77" t="s">
        <v>104</v>
      </c>
      <c r="C128" s="77" t="s">
        <v>29</v>
      </c>
      <c r="D128" s="77" t="s">
        <v>352</v>
      </c>
      <c r="E128" s="77" t="s">
        <v>349</v>
      </c>
      <c r="F128" s="77" t="s">
        <v>377</v>
      </c>
      <c r="G128" s="77" t="s">
        <v>27</v>
      </c>
      <c r="H128" s="77"/>
    </row>
    <row r="129" spans="1:8" x14ac:dyDescent="0.3">
      <c r="A129" t="s">
        <v>358</v>
      </c>
      <c r="B129" s="77" t="s">
        <v>108</v>
      </c>
      <c r="C129" s="77" t="s">
        <v>29</v>
      </c>
      <c r="D129" s="77" t="s">
        <v>338</v>
      </c>
      <c r="E129" s="77" t="s">
        <v>120</v>
      </c>
      <c r="F129" s="77" t="s">
        <v>378</v>
      </c>
      <c r="G129" s="77" t="s">
        <v>27</v>
      </c>
      <c r="H129" s="77"/>
    </row>
    <row r="130" spans="1:8" x14ac:dyDescent="0.3">
      <c r="A130" t="s">
        <v>358</v>
      </c>
      <c r="B130" s="77" t="s">
        <v>112</v>
      </c>
      <c r="C130" s="77" t="s">
        <v>29</v>
      </c>
      <c r="D130" s="77" t="s">
        <v>335</v>
      </c>
      <c r="E130" s="77" t="s">
        <v>373</v>
      </c>
      <c r="F130" s="77" t="s">
        <v>379</v>
      </c>
      <c r="G130" s="77" t="s">
        <v>27</v>
      </c>
      <c r="H130" s="77"/>
    </row>
    <row r="131" spans="1:8" x14ac:dyDescent="0.3">
      <c r="A131" t="s">
        <v>358</v>
      </c>
      <c r="B131" s="77" t="s">
        <v>116</v>
      </c>
      <c r="C131" s="77" t="s">
        <v>29</v>
      </c>
      <c r="D131" s="77" t="s">
        <v>349</v>
      </c>
      <c r="E131" s="77" t="s">
        <v>120</v>
      </c>
      <c r="F131" s="77" t="s">
        <v>187</v>
      </c>
      <c r="G131" s="77" t="s">
        <v>27</v>
      </c>
      <c r="H131" s="77"/>
    </row>
    <row r="132" spans="1:8" x14ac:dyDescent="0.3">
      <c r="A132" t="s">
        <v>358</v>
      </c>
      <c r="B132" s="77" t="s">
        <v>121</v>
      </c>
      <c r="C132" s="77" t="s">
        <v>29</v>
      </c>
      <c r="D132" s="77" t="s">
        <v>318</v>
      </c>
      <c r="E132" s="77" t="s">
        <v>380</v>
      </c>
      <c r="F132" s="77" t="s">
        <v>379</v>
      </c>
      <c r="G132" s="77" t="s">
        <v>27</v>
      </c>
      <c r="H132" s="77"/>
    </row>
    <row r="133" spans="1:8" x14ac:dyDescent="0.3">
      <c r="A133" t="s">
        <v>358</v>
      </c>
      <c r="B133" s="77" t="s">
        <v>125</v>
      </c>
      <c r="C133" s="77" t="s">
        <v>29</v>
      </c>
      <c r="D133" s="77" t="s">
        <v>319</v>
      </c>
      <c r="E133" s="77" t="s">
        <v>381</v>
      </c>
      <c r="F133" s="77" t="s">
        <v>374</v>
      </c>
      <c r="G133" s="77" t="s">
        <v>27</v>
      </c>
      <c r="H133" s="77"/>
    </row>
    <row r="134" spans="1:8" x14ac:dyDescent="0.3">
      <c r="A134" t="s">
        <v>358</v>
      </c>
      <c r="B134" s="77" t="s">
        <v>129</v>
      </c>
      <c r="C134" s="77" t="s">
        <v>29</v>
      </c>
      <c r="D134" s="77" t="s">
        <v>355</v>
      </c>
      <c r="E134" s="77" t="s">
        <v>382</v>
      </c>
      <c r="F134" s="77" t="s">
        <v>120</v>
      </c>
      <c r="G134" s="77" t="s">
        <v>27</v>
      </c>
      <c r="H134" s="77"/>
    </row>
    <row r="135" spans="1:8" x14ac:dyDescent="0.3">
      <c r="A135" t="s">
        <v>358</v>
      </c>
      <c r="B135" s="77" t="s">
        <v>134</v>
      </c>
      <c r="C135" s="77" t="s">
        <v>29</v>
      </c>
      <c r="D135" s="77" t="s">
        <v>342</v>
      </c>
      <c r="E135" s="77" t="s">
        <v>356</v>
      </c>
      <c r="F135" s="77" t="s">
        <v>376</v>
      </c>
      <c r="G135" s="77" t="s">
        <v>27</v>
      </c>
      <c r="H135" s="77"/>
    </row>
    <row r="136" spans="1:8" x14ac:dyDescent="0.3">
      <c r="A136" t="s">
        <v>358</v>
      </c>
      <c r="B136" s="77" t="s">
        <v>138</v>
      </c>
      <c r="C136" s="77" t="s">
        <v>29</v>
      </c>
      <c r="D136" s="77" t="s">
        <v>351</v>
      </c>
      <c r="E136" s="77" t="s">
        <v>374</v>
      </c>
      <c r="F136" s="77" t="s">
        <v>383</v>
      </c>
      <c r="G136" s="77" t="s">
        <v>27</v>
      </c>
      <c r="H136" s="77"/>
    </row>
    <row r="137" spans="1:8" x14ac:dyDescent="0.3">
      <c r="A137" t="s">
        <v>358</v>
      </c>
      <c r="B137" s="77" t="s">
        <v>142</v>
      </c>
      <c r="C137" s="77" t="s">
        <v>29</v>
      </c>
      <c r="D137" s="77" t="s">
        <v>384</v>
      </c>
      <c r="E137" s="77" t="s">
        <v>382</v>
      </c>
      <c r="F137" s="77" t="s">
        <v>383</v>
      </c>
      <c r="G137" s="77" t="s">
        <v>27</v>
      </c>
      <c r="H137" s="77"/>
    </row>
    <row r="138" spans="1:8" x14ac:dyDescent="0.3">
      <c r="A138" t="s">
        <v>358</v>
      </c>
      <c r="B138" s="77" t="s">
        <v>147</v>
      </c>
      <c r="C138" s="77" t="s">
        <v>29</v>
      </c>
      <c r="D138" s="77" t="s">
        <v>370</v>
      </c>
      <c r="E138" s="77" t="s">
        <v>37</v>
      </c>
      <c r="F138" s="77" t="s">
        <v>376</v>
      </c>
      <c r="G138" s="77" t="s">
        <v>27</v>
      </c>
      <c r="H138" s="77"/>
    </row>
    <row r="139" spans="1:8" x14ac:dyDescent="0.3">
      <c r="A139" t="s">
        <v>358</v>
      </c>
      <c r="B139" s="77" t="s">
        <v>151</v>
      </c>
      <c r="C139" s="77" t="s">
        <v>29</v>
      </c>
      <c r="D139" s="77" t="s">
        <v>378</v>
      </c>
      <c r="E139" s="77" t="s">
        <v>385</v>
      </c>
      <c r="F139" s="77" t="s">
        <v>386</v>
      </c>
      <c r="G139" s="77" t="s">
        <v>27</v>
      </c>
      <c r="H139" s="77"/>
    </row>
    <row r="140" spans="1:8" x14ac:dyDescent="0.3">
      <c r="A140" t="s">
        <v>358</v>
      </c>
      <c r="B140" s="77" t="s">
        <v>155</v>
      </c>
      <c r="C140" s="77" t="s">
        <v>29</v>
      </c>
      <c r="D140" s="77" t="s">
        <v>387</v>
      </c>
      <c r="E140" s="77" t="s">
        <v>382</v>
      </c>
      <c r="F140" s="77" t="s">
        <v>37</v>
      </c>
      <c r="G140" s="77" t="s">
        <v>27</v>
      </c>
      <c r="H140" s="77"/>
    </row>
    <row r="141" spans="1:8" x14ac:dyDescent="0.3">
      <c r="A141" t="s">
        <v>358</v>
      </c>
      <c r="B141" s="77" t="s">
        <v>159</v>
      </c>
      <c r="C141" s="77" t="s">
        <v>29</v>
      </c>
      <c r="D141" s="77" t="s">
        <v>351</v>
      </c>
      <c r="E141" s="77" t="s">
        <v>382</v>
      </c>
      <c r="F141" s="77" t="s">
        <v>356</v>
      </c>
      <c r="G141" s="77" t="s">
        <v>27</v>
      </c>
      <c r="H141" s="77"/>
    </row>
    <row r="142" spans="1:8" x14ac:dyDescent="0.3">
      <c r="A142" t="s">
        <v>358</v>
      </c>
      <c r="B142" s="77" t="s">
        <v>163</v>
      </c>
      <c r="C142" s="77" t="s">
        <v>29</v>
      </c>
      <c r="D142" s="77" t="s">
        <v>353</v>
      </c>
      <c r="E142" s="77" t="s">
        <v>386</v>
      </c>
      <c r="F142" s="77" t="s">
        <v>388</v>
      </c>
      <c r="G142" s="77" t="s">
        <v>27</v>
      </c>
      <c r="H142" s="77"/>
    </row>
    <row r="143" spans="1:8" x14ac:dyDescent="0.3">
      <c r="A143" t="s">
        <v>358</v>
      </c>
      <c r="B143" s="77" t="s">
        <v>166</v>
      </c>
      <c r="C143" s="77" t="s">
        <v>29</v>
      </c>
      <c r="D143" s="77" t="s">
        <v>377</v>
      </c>
      <c r="E143" s="77" t="s">
        <v>385</v>
      </c>
      <c r="F143" s="77" t="s">
        <v>389</v>
      </c>
      <c r="G143" s="77" t="s">
        <v>27</v>
      </c>
      <c r="H143" s="77"/>
    </row>
    <row r="144" spans="1:8" x14ac:dyDescent="0.3">
      <c r="A144" t="s">
        <v>358</v>
      </c>
      <c r="B144" s="77" t="s">
        <v>170</v>
      </c>
      <c r="C144" s="77" t="s">
        <v>29</v>
      </c>
      <c r="D144" s="77" t="s">
        <v>120</v>
      </c>
      <c r="E144" s="77" t="s">
        <v>390</v>
      </c>
      <c r="F144" s="77" t="s">
        <v>388</v>
      </c>
      <c r="G144" s="77" t="s">
        <v>27</v>
      </c>
      <c r="H144" s="77"/>
    </row>
    <row r="145" spans="1:8" x14ac:dyDescent="0.3">
      <c r="A145" t="s">
        <v>358</v>
      </c>
      <c r="B145" s="77" t="s">
        <v>175</v>
      </c>
      <c r="C145" s="77" t="s">
        <v>29</v>
      </c>
      <c r="D145" s="77" t="s">
        <v>391</v>
      </c>
      <c r="E145" s="77" t="s">
        <v>382</v>
      </c>
      <c r="F145" s="77" t="s">
        <v>187</v>
      </c>
      <c r="G145" s="77" t="s">
        <v>27</v>
      </c>
      <c r="H145" s="77"/>
    </row>
    <row r="146" spans="1:8" x14ac:dyDescent="0.3">
      <c r="A146" t="s">
        <v>358</v>
      </c>
      <c r="B146" s="77" t="s">
        <v>179</v>
      </c>
      <c r="C146" s="77" t="s">
        <v>29</v>
      </c>
      <c r="D146" s="77" t="s">
        <v>381</v>
      </c>
      <c r="E146" s="77" t="s">
        <v>392</v>
      </c>
      <c r="F146" s="77" t="s">
        <v>393</v>
      </c>
      <c r="G146" s="77" t="s">
        <v>27</v>
      </c>
      <c r="H146" s="77"/>
    </row>
    <row r="147" spans="1:8" x14ac:dyDescent="0.3">
      <c r="A147" t="s">
        <v>394</v>
      </c>
      <c r="B147" s="77" t="s">
        <v>33</v>
      </c>
      <c r="C147" s="77" t="s">
        <v>29</v>
      </c>
      <c r="D147" s="77" t="s">
        <v>395</v>
      </c>
      <c r="E147" s="77" t="s">
        <v>338</v>
      </c>
      <c r="F147" s="77" t="s">
        <v>322</v>
      </c>
      <c r="G147" s="77" t="s">
        <v>74</v>
      </c>
      <c r="H147" s="77"/>
    </row>
    <row r="148" spans="1:8" x14ac:dyDescent="0.3">
      <c r="A148" t="s">
        <v>394</v>
      </c>
      <c r="B148" s="77" t="s">
        <v>38</v>
      </c>
      <c r="C148" s="77" t="s">
        <v>29</v>
      </c>
      <c r="D148" s="77" t="s">
        <v>396</v>
      </c>
      <c r="E148" s="77" t="s">
        <v>391</v>
      </c>
      <c r="F148" s="77" t="s">
        <v>370</v>
      </c>
      <c r="G148" s="77" t="s">
        <v>27</v>
      </c>
      <c r="H148" s="77"/>
    </row>
    <row r="149" spans="1:8" x14ac:dyDescent="0.3">
      <c r="A149" t="s">
        <v>394</v>
      </c>
      <c r="B149" s="77" t="s">
        <v>43</v>
      </c>
      <c r="C149" s="77" t="s">
        <v>29</v>
      </c>
      <c r="D149" s="77" t="s">
        <v>313</v>
      </c>
      <c r="E149" s="77" t="s">
        <v>353</v>
      </c>
      <c r="F149" s="77" t="s">
        <v>391</v>
      </c>
      <c r="G149" s="77" t="s">
        <v>27</v>
      </c>
      <c r="H149" s="77"/>
    </row>
    <row r="150" spans="1:8" x14ac:dyDescent="0.3">
      <c r="A150" t="s">
        <v>394</v>
      </c>
      <c r="B150" s="77" t="s">
        <v>47</v>
      </c>
      <c r="C150" s="77" t="s">
        <v>29</v>
      </c>
      <c r="D150" s="77" t="s">
        <v>313</v>
      </c>
      <c r="E150" s="77" t="s">
        <v>377</v>
      </c>
      <c r="F150" s="77" t="s">
        <v>372</v>
      </c>
      <c r="G150" s="77" t="s">
        <v>27</v>
      </c>
      <c r="H150" s="77"/>
    </row>
    <row r="151" spans="1:8" x14ac:dyDescent="0.3">
      <c r="A151" t="s">
        <v>394</v>
      </c>
      <c r="B151" s="77" t="s">
        <v>52</v>
      </c>
      <c r="C151" s="77" t="s">
        <v>29</v>
      </c>
      <c r="D151" s="77" t="s">
        <v>362</v>
      </c>
      <c r="E151" s="77" t="s">
        <v>397</v>
      </c>
      <c r="F151" s="77" t="s">
        <v>353</v>
      </c>
      <c r="G151" s="77" t="s">
        <v>27</v>
      </c>
      <c r="H151" s="77"/>
    </row>
    <row r="152" spans="1:8" x14ac:dyDescent="0.3">
      <c r="A152" t="s">
        <v>394</v>
      </c>
      <c r="B152" s="77" t="s">
        <v>57</v>
      </c>
      <c r="C152" s="77" t="s">
        <v>29</v>
      </c>
      <c r="D152" s="77" t="s">
        <v>397</v>
      </c>
      <c r="E152" s="77" t="s">
        <v>376</v>
      </c>
      <c r="F152" s="77" t="s">
        <v>382</v>
      </c>
      <c r="G152" s="77" t="s">
        <v>27</v>
      </c>
      <c r="H152" s="77"/>
    </row>
    <row r="153" spans="1:8" x14ac:dyDescent="0.3">
      <c r="A153" t="s">
        <v>394</v>
      </c>
      <c r="B153" s="77" t="s">
        <v>62</v>
      </c>
      <c r="C153" s="77" t="s">
        <v>29</v>
      </c>
      <c r="D153" s="77" t="s">
        <v>398</v>
      </c>
      <c r="E153" s="77" t="s">
        <v>380</v>
      </c>
      <c r="F153" s="77" t="s">
        <v>37</v>
      </c>
      <c r="G153" s="77" t="s">
        <v>27</v>
      </c>
      <c r="H153" s="77"/>
    </row>
    <row r="154" spans="1:8" x14ac:dyDescent="0.3">
      <c r="A154" t="s">
        <v>394</v>
      </c>
      <c r="B154" s="77" t="s">
        <v>66</v>
      </c>
      <c r="C154" s="77" t="s">
        <v>29</v>
      </c>
      <c r="D154" s="77" t="s">
        <v>384</v>
      </c>
      <c r="E154" s="77" t="s">
        <v>393</v>
      </c>
      <c r="F154" s="77" t="s">
        <v>375</v>
      </c>
      <c r="G154" s="77" t="s">
        <v>27</v>
      </c>
      <c r="H154" s="77"/>
    </row>
    <row r="155" spans="1:8" x14ac:dyDescent="0.3">
      <c r="A155" t="s">
        <v>394</v>
      </c>
      <c r="B155" s="77" t="s">
        <v>70</v>
      </c>
      <c r="C155" s="77" t="s">
        <v>29</v>
      </c>
      <c r="D155" s="77" t="s">
        <v>342</v>
      </c>
      <c r="E155" s="77" t="s">
        <v>376</v>
      </c>
      <c r="F155" s="77" t="s">
        <v>356</v>
      </c>
      <c r="G155" s="77" t="s">
        <v>27</v>
      </c>
      <c r="H155" s="77"/>
    </row>
    <row r="156" spans="1:8" x14ac:dyDescent="0.3">
      <c r="A156" t="s">
        <v>394</v>
      </c>
      <c r="B156" s="77" t="s">
        <v>75</v>
      </c>
      <c r="C156" s="77" t="s">
        <v>29</v>
      </c>
      <c r="D156" s="77" t="s">
        <v>399</v>
      </c>
      <c r="E156" s="77" t="s">
        <v>120</v>
      </c>
      <c r="F156" s="77" t="s">
        <v>388</v>
      </c>
      <c r="G156" s="77" t="s">
        <v>27</v>
      </c>
      <c r="H156" s="77"/>
    </row>
    <row r="157" spans="1:8" x14ac:dyDescent="0.3">
      <c r="A157" t="s">
        <v>394</v>
      </c>
      <c r="B157" s="77" t="s">
        <v>79</v>
      </c>
      <c r="C157" s="77" t="s">
        <v>29</v>
      </c>
      <c r="D157" s="77" t="s">
        <v>372</v>
      </c>
      <c r="E157" s="77" t="s">
        <v>393</v>
      </c>
      <c r="F157" s="77" t="s">
        <v>389</v>
      </c>
      <c r="G157" s="77" t="s">
        <v>27</v>
      </c>
      <c r="H157" s="77"/>
    </row>
    <row r="158" spans="1:8" x14ac:dyDescent="0.3">
      <c r="A158" t="s">
        <v>394</v>
      </c>
      <c r="B158" s="77" t="s">
        <v>83</v>
      </c>
      <c r="C158" s="77" t="s">
        <v>29</v>
      </c>
      <c r="D158" s="77" t="s">
        <v>400</v>
      </c>
      <c r="E158" s="77" t="s">
        <v>393</v>
      </c>
      <c r="F158" s="77" t="s">
        <v>146</v>
      </c>
      <c r="G158" s="77" t="s">
        <v>27</v>
      </c>
      <c r="H158" s="77"/>
    </row>
    <row r="159" spans="1:8" x14ac:dyDescent="0.3">
      <c r="A159" t="s">
        <v>394</v>
      </c>
      <c r="B159" s="77" t="s">
        <v>88</v>
      </c>
      <c r="C159" s="77" t="s">
        <v>29</v>
      </c>
      <c r="D159" s="77" t="s">
        <v>372</v>
      </c>
      <c r="E159" s="77" t="s">
        <v>383</v>
      </c>
      <c r="F159" s="77" t="s">
        <v>388</v>
      </c>
      <c r="G159" s="77" t="s">
        <v>27</v>
      </c>
      <c r="H159" s="77"/>
    </row>
    <row r="160" spans="1:8" x14ac:dyDescent="0.3">
      <c r="A160" t="s">
        <v>394</v>
      </c>
      <c r="B160" s="77" t="s">
        <v>92</v>
      </c>
      <c r="C160" s="77" t="s">
        <v>29</v>
      </c>
      <c r="D160" s="77" t="s">
        <v>373</v>
      </c>
      <c r="E160" s="77" t="s">
        <v>393</v>
      </c>
      <c r="F160" s="77" t="s">
        <v>133</v>
      </c>
      <c r="G160" s="77" t="s">
        <v>27</v>
      </c>
      <c r="H160" s="77"/>
    </row>
    <row r="161" spans="1:8" x14ac:dyDescent="0.3">
      <c r="A161" t="s">
        <v>394</v>
      </c>
      <c r="B161" s="77" t="s">
        <v>96</v>
      </c>
      <c r="C161" s="77" t="s">
        <v>29</v>
      </c>
      <c r="D161" s="77" t="s">
        <v>380</v>
      </c>
      <c r="E161" s="77" t="s">
        <v>390</v>
      </c>
      <c r="F161" s="77" t="s">
        <v>386</v>
      </c>
      <c r="G161" s="77" t="s">
        <v>27</v>
      </c>
      <c r="H161" s="77"/>
    </row>
    <row r="162" spans="1:8" x14ac:dyDescent="0.3">
      <c r="A162" t="s">
        <v>394</v>
      </c>
      <c r="B162" s="77" t="s">
        <v>100</v>
      </c>
      <c r="C162" s="77" t="s">
        <v>29</v>
      </c>
      <c r="D162" s="77" t="s">
        <v>391</v>
      </c>
      <c r="E162" s="77" t="s">
        <v>382</v>
      </c>
      <c r="F162" s="77" t="s">
        <v>187</v>
      </c>
      <c r="G162" s="77" t="s">
        <v>27</v>
      </c>
      <c r="H162" s="77"/>
    </row>
    <row r="163" spans="1:8" x14ac:dyDescent="0.3">
      <c r="A163" t="s">
        <v>394</v>
      </c>
      <c r="B163" s="77" t="s">
        <v>104</v>
      </c>
      <c r="C163" s="77" t="s">
        <v>29</v>
      </c>
      <c r="D163" s="77" t="s">
        <v>373</v>
      </c>
      <c r="E163" s="77" t="s">
        <v>389</v>
      </c>
      <c r="F163" s="77" t="s">
        <v>390</v>
      </c>
      <c r="G163" s="77" t="s">
        <v>27</v>
      </c>
      <c r="H163" s="77"/>
    </row>
    <row r="164" spans="1:8" x14ac:dyDescent="0.3">
      <c r="A164" t="s">
        <v>394</v>
      </c>
      <c r="B164" s="77" t="s">
        <v>108</v>
      </c>
      <c r="C164" s="77" t="s">
        <v>29</v>
      </c>
      <c r="D164" s="77" t="s">
        <v>377</v>
      </c>
      <c r="E164" s="77" t="s">
        <v>386</v>
      </c>
      <c r="F164" s="77" t="s">
        <v>383</v>
      </c>
      <c r="G164" s="77" t="s">
        <v>27</v>
      </c>
      <c r="H164" s="77"/>
    </row>
    <row r="165" spans="1:8" x14ac:dyDescent="0.3">
      <c r="A165" t="s">
        <v>394</v>
      </c>
      <c r="B165" s="77" t="s">
        <v>112</v>
      </c>
      <c r="C165" s="77" t="s">
        <v>29</v>
      </c>
      <c r="D165" s="77" t="s">
        <v>380</v>
      </c>
      <c r="E165" s="77" t="s">
        <v>187</v>
      </c>
      <c r="F165" s="77" t="s">
        <v>389</v>
      </c>
      <c r="G165" s="77" t="s">
        <v>27</v>
      </c>
      <c r="H165" s="77"/>
    </row>
    <row r="166" spans="1:8" x14ac:dyDescent="0.3">
      <c r="A166" t="s">
        <v>394</v>
      </c>
      <c r="B166" s="77" t="s">
        <v>116</v>
      </c>
      <c r="C166" s="77" t="s">
        <v>29</v>
      </c>
      <c r="D166" s="77" t="s">
        <v>355</v>
      </c>
      <c r="E166" s="77" t="s">
        <v>37</v>
      </c>
      <c r="F166" s="77" t="s">
        <v>356</v>
      </c>
      <c r="G166" s="77" t="s">
        <v>27</v>
      </c>
      <c r="H166" s="77"/>
    </row>
    <row r="167" spans="1:8" x14ac:dyDescent="0.3">
      <c r="A167" t="s">
        <v>394</v>
      </c>
      <c r="B167" s="77" t="s">
        <v>121</v>
      </c>
      <c r="C167" s="77" t="s">
        <v>29</v>
      </c>
      <c r="D167" s="77" t="s">
        <v>349</v>
      </c>
      <c r="E167" s="77" t="s">
        <v>385</v>
      </c>
      <c r="F167" s="77" t="s">
        <v>37</v>
      </c>
      <c r="G167" s="77" t="s">
        <v>27</v>
      </c>
      <c r="H167" s="77"/>
    </row>
    <row r="168" spans="1:8" x14ac:dyDescent="0.3">
      <c r="A168" t="s">
        <v>394</v>
      </c>
      <c r="B168" s="77" t="s">
        <v>125</v>
      </c>
      <c r="C168" s="77" t="s">
        <v>29</v>
      </c>
      <c r="D168" s="77" t="s">
        <v>381</v>
      </c>
      <c r="E168" s="77" t="s">
        <v>393</v>
      </c>
      <c r="F168" s="77" t="s">
        <v>392</v>
      </c>
      <c r="G168" s="77" t="s">
        <v>27</v>
      </c>
      <c r="H168" s="77"/>
    </row>
    <row r="169" spans="1:8" x14ac:dyDescent="0.3">
      <c r="A169" t="s">
        <v>394</v>
      </c>
      <c r="B169" s="77" t="s">
        <v>129</v>
      </c>
      <c r="C169" s="77" t="s">
        <v>29</v>
      </c>
      <c r="D169" s="77" t="s">
        <v>372</v>
      </c>
      <c r="E169" s="77" t="s">
        <v>187</v>
      </c>
      <c r="F169" s="77" t="s">
        <v>386</v>
      </c>
      <c r="G169" s="77" t="s">
        <v>27</v>
      </c>
      <c r="H169" s="77"/>
    </row>
    <row r="170" spans="1:8" x14ac:dyDescent="0.3">
      <c r="A170" t="s">
        <v>394</v>
      </c>
      <c r="B170" s="77" t="s">
        <v>134</v>
      </c>
      <c r="C170" s="77" t="s">
        <v>29</v>
      </c>
      <c r="D170" s="77" t="s">
        <v>379</v>
      </c>
      <c r="E170" s="77" t="s">
        <v>383</v>
      </c>
      <c r="F170" s="77" t="s">
        <v>390</v>
      </c>
      <c r="G170" s="77" t="s">
        <v>27</v>
      </c>
      <c r="H170" s="77"/>
    </row>
    <row r="171" spans="1:8" x14ac:dyDescent="0.3">
      <c r="A171" t="s">
        <v>394</v>
      </c>
      <c r="B171" s="77" t="s">
        <v>138</v>
      </c>
      <c r="C171" s="77" t="s">
        <v>29</v>
      </c>
      <c r="D171" s="77" t="s">
        <v>353</v>
      </c>
      <c r="E171" s="77" t="s">
        <v>133</v>
      </c>
      <c r="F171" s="77" t="s">
        <v>37</v>
      </c>
      <c r="G171" s="77" t="s">
        <v>27</v>
      </c>
      <c r="H171" s="77"/>
    </row>
    <row r="172" spans="1:8" x14ac:dyDescent="0.3">
      <c r="A172" t="s">
        <v>394</v>
      </c>
      <c r="B172" s="77" t="s">
        <v>142</v>
      </c>
      <c r="C172" s="77" t="s">
        <v>29</v>
      </c>
      <c r="D172" s="77" t="s">
        <v>379</v>
      </c>
      <c r="E172" s="77" t="s">
        <v>393</v>
      </c>
      <c r="F172" s="77" t="s">
        <v>187</v>
      </c>
      <c r="G172" s="77" t="s">
        <v>27</v>
      </c>
      <c r="H172" s="77"/>
    </row>
    <row r="173" spans="1:8" x14ac:dyDescent="0.3">
      <c r="A173" t="s">
        <v>394</v>
      </c>
      <c r="B173" s="77" t="s">
        <v>147</v>
      </c>
      <c r="C173" s="77" t="s">
        <v>29</v>
      </c>
      <c r="D173" s="77" t="s">
        <v>400</v>
      </c>
      <c r="E173" s="77" t="s">
        <v>133</v>
      </c>
      <c r="F173" s="77" t="s">
        <v>392</v>
      </c>
      <c r="G173" s="77" t="s">
        <v>27</v>
      </c>
      <c r="H173" s="77"/>
    </row>
    <row r="174" spans="1:8" x14ac:dyDescent="0.3">
      <c r="A174" t="s">
        <v>394</v>
      </c>
      <c r="B174" s="77" t="s">
        <v>151</v>
      </c>
      <c r="C174" s="77" t="s">
        <v>29</v>
      </c>
      <c r="D174" s="77" t="s">
        <v>375</v>
      </c>
      <c r="E174" s="77" t="s">
        <v>389</v>
      </c>
      <c r="F174" s="77" t="s">
        <v>146</v>
      </c>
      <c r="G174" s="77" t="s">
        <v>27</v>
      </c>
      <c r="H174" s="77"/>
    </row>
    <row r="175" spans="1:8" x14ac:dyDescent="0.3">
      <c r="A175" t="s">
        <v>394</v>
      </c>
      <c r="B175" s="77" t="s">
        <v>155</v>
      </c>
      <c r="C175" s="77" t="s">
        <v>29</v>
      </c>
      <c r="D175" s="77" t="s">
        <v>385</v>
      </c>
      <c r="E175" s="77" t="s">
        <v>42</v>
      </c>
      <c r="F175" s="77" t="s">
        <v>390</v>
      </c>
      <c r="G175" s="77" t="s">
        <v>27</v>
      </c>
      <c r="H175" s="77"/>
    </row>
    <row r="176" spans="1:8" x14ac:dyDescent="0.3">
      <c r="A176" t="s">
        <v>394</v>
      </c>
      <c r="B176" s="77" t="s">
        <v>159</v>
      </c>
      <c r="C176" s="77" t="s">
        <v>29</v>
      </c>
      <c r="D176" s="77" t="s">
        <v>120</v>
      </c>
      <c r="E176" s="77" t="s">
        <v>390</v>
      </c>
      <c r="F176" s="77" t="s">
        <v>388</v>
      </c>
      <c r="G176" s="77" t="s">
        <v>27</v>
      </c>
      <c r="H176" s="77"/>
    </row>
    <row r="177" spans="1:8" x14ac:dyDescent="0.3">
      <c r="A177" t="s">
        <v>394</v>
      </c>
      <c r="B177" s="77" t="s">
        <v>163</v>
      </c>
      <c r="C177" s="77" t="s">
        <v>29</v>
      </c>
      <c r="D177" s="77" t="s">
        <v>385</v>
      </c>
      <c r="E177" s="77" t="s">
        <v>401</v>
      </c>
      <c r="F177" s="77" t="s">
        <v>402</v>
      </c>
      <c r="G177" s="77" t="s">
        <v>27</v>
      </c>
      <c r="H177" s="77"/>
    </row>
    <row r="178" spans="1:8" x14ac:dyDescent="0.3">
      <c r="A178" t="s">
        <v>394</v>
      </c>
      <c r="B178" s="77" t="s">
        <v>166</v>
      </c>
      <c r="C178" s="77" t="s">
        <v>29</v>
      </c>
      <c r="D178" s="77" t="s">
        <v>385</v>
      </c>
      <c r="E178" s="77" t="s">
        <v>146</v>
      </c>
      <c r="F178" s="77" t="s">
        <v>133</v>
      </c>
      <c r="G178" s="77" t="s">
        <v>27</v>
      </c>
      <c r="H178" s="77"/>
    </row>
    <row r="179" spans="1:8" x14ac:dyDescent="0.3">
      <c r="A179" t="s">
        <v>394</v>
      </c>
      <c r="B179" s="77" t="s">
        <v>170</v>
      </c>
      <c r="C179" s="77" t="s">
        <v>29</v>
      </c>
      <c r="D179" s="77" t="s">
        <v>37</v>
      </c>
      <c r="E179" s="77" t="s">
        <v>388</v>
      </c>
      <c r="F179" s="77" t="s">
        <v>51</v>
      </c>
      <c r="G179" s="77" t="s">
        <v>27</v>
      </c>
      <c r="H179" s="77"/>
    </row>
    <row r="180" spans="1:8" x14ac:dyDescent="0.3">
      <c r="A180" t="s">
        <v>394</v>
      </c>
      <c r="B180" s="77" t="s">
        <v>175</v>
      </c>
      <c r="C180" s="77" t="s">
        <v>29</v>
      </c>
      <c r="D180" s="77" t="s">
        <v>376</v>
      </c>
      <c r="E180" s="77" t="s">
        <v>393</v>
      </c>
      <c r="F180" s="77" t="s">
        <v>402</v>
      </c>
      <c r="G180" s="77" t="s">
        <v>27</v>
      </c>
      <c r="H180" s="77"/>
    </row>
    <row r="181" spans="1:8" x14ac:dyDescent="0.3">
      <c r="A181" t="s">
        <v>394</v>
      </c>
      <c r="B181" s="77" t="s">
        <v>179</v>
      </c>
      <c r="C181" s="77" t="s">
        <v>29</v>
      </c>
      <c r="D181" s="77" t="s">
        <v>390</v>
      </c>
      <c r="E181" s="77" t="s">
        <v>146</v>
      </c>
      <c r="F181" s="77" t="s">
        <v>87</v>
      </c>
      <c r="G181" s="77" t="s">
        <v>27</v>
      </c>
      <c r="H181" s="77"/>
    </row>
    <row r="182" spans="1:8" x14ac:dyDescent="0.3">
      <c r="A182" t="s">
        <v>403</v>
      </c>
      <c r="B182" s="77" t="s">
        <v>33</v>
      </c>
      <c r="C182" s="77" t="s">
        <v>29</v>
      </c>
      <c r="D182" s="77" t="s">
        <v>362</v>
      </c>
      <c r="E182" s="77" t="s">
        <v>371</v>
      </c>
      <c r="F182" s="77" t="s">
        <v>399</v>
      </c>
      <c r="G182" s="77" t="s">
        <v>74</v>
      </c>
      <c r="H182" s="77"/>
    </row>
    <row r="183" spans="1:8" x14ac:dyDescent="0.3">
      <c r="A183" t="s">
        <v>403</v>
      </c>
      <c r="B183" s="77" t="s">
        <v>38</v>
      </c>
      <c r="C183" s="77" t="s">
        <v>29</v>
      </c>
      <c r="D183" s="77" t="s">
        <v>397</v>
      </c>
      <c r="E183" s="77" t="s">
        <v>381</v>
      </c>
      <c r="F183" s="77" t="s">
        <v>37</v>
      </c>
      <c r="G183" s="77" t="s">
        <v>27</v>
      </c>
      <c r="H183" s="77"/>
    </row>
    <row r="184" spans="1:8" x14ac:dyDescent="0.3">
      <c r="A184" t="s">
        <v>403</v>
      </c>
      <c r="B184" s="77" t="s">
        <v>43</v>
      </c>
      <c r="C184" s="77" t="s">
        <v>29</v>
      </c>
      <c r="D184" s="77" t="s">
        <v>387</v>
      </c>
      <c r="E184" s="77" t="s">
        <v>400</v>
      </c>
      <c r="F184" s="77" t="s">
        <v>385</v>
      </c>
      <c r="G184" s="77" t="s">
        <v>27</v>
      </c>
      <c r="H184" s="77"/>
    </row>
    <row r="185" spans="1:8" x14ac:dyDescent="0.3">
      <c r="A185" t="s">
        <v>403</v>
      </c>
      <c r="B185" s="77" t="s">
        <v>47</v>
      </c>
      <c r="C185" s="77" t="s">
        <v>29</v>
      </c>
      <c r="D185" s="77" t="s">
        <v>398</v>
      </c>
      <c r="E185" s="77" t="s">
        <v>375</v>
      </c>
      <c r="F185" s="77" t="s">
        <v>356</v>
      </c>
      <c r="G185" s="77" t="s">
        <v>27</v>
      </c>
      <c r="H185" s="77"/>
    </row>
    <row r="186" spans="1:8" x14ac:dyDescent="0.3">
      <c r="A186" t="s">
        <v>403</v>
      </c>
      <c r="B186" s="77" t="s">
        <v>52</v>
      </c>
      <c r="C186" s="77" t="s">
        <v>29</v>
      </c>
      <c r="D186" s="77" t="s">
        <v>404</v>
      </c>
      <c r="E186" s="77" t="s">
        <v>133</v>
      </c>
      <c r="F186" s="77" t="s">
        <v>382</v>
      </c>
      <c r="G186" s="77" t="s">
        <v>27</v>
      </c>
      <c r="H186" s="77"/>
    </row>
    <row r="187" spans="1:8" x14ac:dyDescent="0.3">
      <c r="A187" t="s">
        <v>403</v>
      </c>
      <c r="B187" s="77" t="s">
        <v>57</v>
      </c>
      <c r="C187" s="77" t="s">
        <v>29</v>
      </c>
      <c r="D187" s="77" t="s">
        <v>391</v>
      </c>
      <c r="E187" s="77" t="s">
        <v>393</v>
      </c>
      <c r="F187" s="77" t="s">
        <v>385</v>
      </c>
      <c r="G187" s="77" t="s">
        <v>27</v>
      </c>
      <c r="H187" s="77"/>
    </row>
    <row r="188" spans="1:8" x14ac:dyDescent="0.3">
      <c r="A188" t="s">
        <v>403</v>
      </c>
      <c r="B188" s="77" t="s">
        <v>62</v>
      </c>
      <c r="C188" s="77" t="s">
        <v>29</v>
      </c>
      <c r="D188" s="77" t="s">
        <v>371</v>
      </c>
      <c r="E188" s="77" t="s">
        <v>382</v>
      </c>
      <c r="F188" s="77" t="s">
        <v>393</v>
      </c>
      <c r="G188" s="77" t="s">
        <v>27</v>
      </c>
      <c r="H188" s="77"/>
    </row>
    <row r="189" spans="1:8" x14ac:dyDescent="0.3">
      <c r="A189" t="s">
        <v>403</v>
      </c>
      <c r="B189" s="77" t="s">
        <v>66</v>
      </c>
      <c r="C189" s="77" t="s">
        <v>29</v>
      </c>
      <c r="D189" s="77" t="s">
        <v>404</v>
      </c>
      <c r="E189" s="77" t="s">
        <v>386</v>
      </c>
      <c r="F189" s="77" t="s">
        <v>393</v>
      </c>
      <c r="G189" s="77" t="s">
        <v>27</v>
      </c>
      <c r="H189" s="77"/>
    </row>
    <row r="190" spans="1:8" x14ac:dyDescent="0.3">
      <c r="A190" t="s">
        <v>403</v>
      </c>
      <c r="B190" s="77" t="s">
        <v>70</v>
      </c>
      <c r="C190" s="77" t="s">
        <v>29</v>
      </c>
      <c r="D190" s="77" t="s">
        <v>381</v>
      </c>
      <c r="E190" s="77" t="s">
        <v>187</v>
      </c>
      <c r="F190" s="77" t="s">
        <v>390</v>
      </c>
      <c r="G190" s="77" t="s">
        <v>27</v>
      </c>
      <c r="H190" s="77"/>
    </row>
    <row r="191" spans="1:8" x14ac:dyDescent="0.3">
      <c r="A191" t="s">
        <v>403</v>
      </c>
      <c r="B191" s="77" t="s">
        <v>75</v>
      </c>
      <c r="C191" s="77" t="s">
        <v>29</v>
      </c>
      <c r="D191" s="77" t="s">
        <v>376</v>
      </c>
      <c r="E191" s="77" t="s">
        <v>390</v>
      </c>
      <c r="F191" s="77" t="s">
        <v>133</v>
      </c>
      <c r="G191" s="77" t="s">
        <v>27</v>
      </c>
      <c r="H191" s="77"/>
    </row>
    <row r="192" spans="1:8" x14ac:dyDescent="0.3">
      <c r="A192" t="s">
        <v>403</v>
      </c>
      <c r="B192" s="77" t="s">
        <v>79</v>
      </c>
      <c r="C192" s="77" t="s">
        <v>29</v>
      </c>
      <c r="D192" s="77" t="s">
        <v>374</v>
      </c>
      <c r="E192" s="77" t="s">
        <v>388</v>
      </c>
      <c r="F192" s="77" t="s">
        <v>389</v>
      </c>
      <c r="G192" s="77" t="s">
        <v>27</v>
      </c>
      <c r="H192" s="77"/>
    </row>
    <row r="193" spans="1:8" x14ac:dyDescent="0.3">
      <c r="A193" t="s">
        <v>403</v>
      </c>
      <c r="B193" s="77" t="s">
        <v>83</v>
      </c>
      <c r="C193" s="77" t="s">
        <v>29</v>
      </c>
      <c r="D193" s="77" t="s">
        <v>37</v>
      </c>
      <c r="E193" s="77" t="s">
        <v>392</v>
      </c>
      <c r="F193" s="77" t="s">
        <v>401</v>
      </c>
      <c r="G193" s="77" t="s">
        <v>27</v>
      </c>
      <c r="H193" s="77"/>
    </row>
    <row r="194" spans="1:8" x14ac:dyDescent="0.3">
      <c r="A194" t="s">
        <v>403</v>
      </c>
      <c r="B194" s="77" t="s">
        <v>88</v>
      </c>
      <c r="C194" s="77" t="s">
        <v>29</v>
      </c>
      <c r="D194" s="77" t="s">
        <v>388</v>
      </c>
      <c r="E194" s="77" t="s">
        <v>392</v>
      </c>
      <c r="F194" s="77" t="s">
        <v>87</v>
      </c>
      <c r="G194" s="77" t="s">
        <v>27</v>
      </c>
      <c r="H194" s="77"/>
    </row>
    <row r="195" spans="1:8" x14ac:dyDescent="0.3">
      <c r="A195" t="s">
        <v>403</v>
      </c>
      <c r="B195" s="77" t="s">
        <v>92</v>
      </c>
      <c r="C195" s="77" t="s">
        <v>29</v>
      </c>
      <c r="D195" s="77" t="s">
        <v>386</v>
      </c>
      <c r="E195" s="77" t="s">
        <v>401</v>
      </c>
      <c r="F195" s="77" t="s">
        <v>42</v>
      </c>
      <c r="G195" s="77" t="s">
        <v>27</v>
      </c>
      <c r="H195" s="77"/>
    </row>
    <row r="196" spans="1:8" x14ac:dyDescent="0.3">
      <c r="A196" t="s">
        <v>403</v>
      </c>
      <c r="B196" s="77" t="s">
        <v>96</v>
      </c>
      <c r="C196" s="77" t="s">
        <v>29</v>
      </c>
      <c r="D196" s="77" t="s">
        <v>379</v>
      </c>
      <c r="E196" s="77" t="s">
        <v>389</v>
      </c>
      <c r="F196" s="77" t="s">
        <v>133</v>
      </c>
      <c r="G196" s="77" t="s">
        <v>27</v>
      </c>
      <c r="H196" s="77"/>
    </row>
    <row r="197" spans="1:8" x14ac:dyDescent="0.3">
      <c r="A197" t="s">
        <v>403</v>
      </c>
      <c r="B197" s="77" t="s">
        <v>100</v>
      </c>
      <c r="C197" s="77" t="s">
        <v>29</v>
      </c>
      <c r="D197" s="77" t="s">
        <v>383</v>
      </c>
      <c r="E197" s="77" t="s">
        <v>187</v>
      </c>
      <c r="F197" s="77" t="s">
        <v>61</v>
      </c>
      <c r="G197" s="77" t="s">
        <v>27</v>
      </c>
      <c r="H197" s="77"/>
    </row>
    <row r="198" spans="1:8" x14ac:dyDescent="0.3">
      <c r="A198" t="s">
        <v>403</v>
      </c>
      <c r="B198" s="77" t="s">
        <v>104</v>
      </c>
      <c r="C198" s="77" t="s">
        <v>29</v>
      </c>
      <c r="D198" s="77" t="s">
        <v>389</v>
      </c>
      <c r="E198" s="77" t="s">
        <v>146</v>
      </c>
      <c r="F198" s="77" t="s">
        <v>392</v>
      </c>
      <c r="G198" s="77" t="s">
        <v>27</v>
      </c>
      <c r="H198" s="77"/>
    </row>
    <row r="199" spans="1:8" x14ac:dyDescent="0.3">
      <c r="A199" t="s">
        <v>403</v>
      </c>
      <c r="B199" s="77" t="s">
        <v>108</v>
      </c>
      <c r="C199" s="77" t="s">
        <v>29</v>
      </c>
      <c r="D199" s="77" t="s">
        <v>37</v>
      </c>
      <c r="E199" s="77" t="s">
        <v>402</v>
      </c>
      <c r="F199" s="77" t="s">
        <v>390</v>
      </c>
      <c r="G199" s="77" t="s">
        <v>27</v>
      </c>
      <c r="H199" s="77"/>
    </row>
    <row r="200" spans="1:8" x14ac:dyDescent="0.3">
      <c r="A200" t="s">
        <v>403</v>
      </c>
      <c r="B200" s="77" t="s">
        <v>112</v>
      </c>
      <c r="C200" s="77" t="s">
        <v>29</v>
      </c>
      <c r="D200" s="77" t="s">
        <v>393</v>
      </c>
      <c r="E200" s="77" t="s">
        <v>392</v>
      </c>
      <c r="F200" s="77" t="s">
        <v>51</v>
      </c>
      <c r="G200" s="77" t="s">
        <v>27</v>
      </c>
      <c r="H200" s="77"/>
    </row>
    <row r="201" spans="1:8" x14ac:dyDescent="0.3">
      <c r="A201" t="s">
        <v>403</v>
      </c>
      <c r="B201" s="77" t="s">
        <v>116</v>
      </c>
      <c r="C201" s="77" t="s">
        <v>29</v>
      </c>
      <c r="D201" s="77" t="s">
        <v>373</v>
      </c>
      <c r="E201" s="77" t="s">
        <v>388</v>
      </c>
      <c r="F201" s="77" t="s">
        <v>187</v>
      </c>
      <c r="G201" s="77" t="s">
        <v>27</v>
      </c>
      <c r="H201" s="77"/>
    </row>
    <row r="202" spans="1:8" x14ac:dyDescent="0.3">
      <c r="A202" t="s">
        <v>403</v>
      </c>
      <c r="B202" s="77" t="s">
        <v>121</v>
      </c>
      <c r="C202" s="77" t="s">
        <v>29</v>
      </c>
      <c r="D202" s="77" t="s">
        <v>37</v>
      </c>
      <c r="E202" s="77" t="s">
        <v>401</v>
      </c>
      <c r="F202" s="77" t="s">
        <v>392</v>
      </c>
      <c r="G202" s="77" t="s">
        <v>27</v>
      </c>
      <c r="H202" s="77"/>
    </row>
    <row r="203" spans="1:8" x14ac:dyDescent="0.3">
      <c r="A203" t="s">
        <v>403</v>
      </c>
      <c r="B203" s="77" t="s">
        <v>125</v>
      </c>
      <c r="C203" s="77" t="s">
        <v>29</v>
      </c>
      <c r="D203" s="77" t="s">
        <v>385</v>
      </c>
      <c r="E203" s="77" t="s">
        <v>187</v>
      </c>
      <c r="F203" s="77" t="s">
        <v>51</v>
      </c>
      <c r="G203" s="77" t="s">
        <v>27</v>
      </c>
      <c r="H203" s="77"/>
    </row>
    <row r="204" spans="1:8" x14ac:dyDescent="0.3">
      <c r="A204" t="s">
        <v>403</v>
      </c>
      <c r="B204" s="77" t="s">
        <v>129</v>
      </c>
      <c r="C204" s="77" t="s">
        <v>29</v>
      </c>
      <c r="D204" s="77" t="s">
        <v>389</v>
      </c>
      <c r="E204" s="77" t="s">
        <v>42</v>
      </c>
      <c r="F204" s="77" t="s">
        <v>402</v>
      </c>
      <c r="G204" s="77" t="s">
        <v>27</v>
      </c>
      <c r="H204" s="77"/>
    </row>
    <row r="205" spans="1:8" x14ac:dyDescent="0.3">
      <c r="A205" t="s">
        <v>403</v>
      </c>
      <c r="B205" s="77" t="s">
        <v>134</v>
      </c>
      <c r="C205" s="77" t="s">
        <v>29</v>
      </c>
      <c r="D205" s="77" t="s">
        <v>385</v>
      </c>
      <c r="E205" s="77" t="s">
        <v>402</v>
      </c>
      <c r="F205" s="77" t="s">
        <v>401</v>
      </c>
      <c r="G205" s="77" t="s">
        <v>27</v>
      </c>
      <c r="H205" s="77"/>
    </row>
    <row r="206" spans="1:8" x14ac:dyDescent="0.3">
      <c r="A206" t="s">
        <v>403</v>
      </c>
      <c r="B206" s="77" t="s">
        <v>138</v>
      </c>
      <c r="C206" s="77" t="s">
        <v>29</v>
      </c>
      <c r="D206" s="77" t="s">
        <v>393</v>
      </c>
      <c r="E206" s="77" t="s">
        <v>392</v>
      </c>
      <c r="F206" s="77" t="s">
        <v>51</v>
      </c>
      <c r="G206" s="77" t="s">
        <v>27</v>
      </c>
      <c r="H206" s="77"/>
    </row>
    <row r="207" spans="1:8" x14ac:dyDescent="0.3">
      <c r="A207" t="s">
        <v>403</v>
      </c>
      <c r="B207" s="77" t="s">
        <v>142</v>
      </c>
      <c r="C207" s="77" t="s">
        <v>29</v>
      </c>
      <c r="D207" s="77" t="s">
        <v>388</v>
      </c>
      <c r="E207" s="77" t="s">
        <v>402</v>
      </c>
      <c r="F207" s="77" t="s">
        <v>51</v>
      </c>
      <c r="G207" s="77" t="s">
        <v>27</v>
      </c>
      <c r="H207" s="77"/>
    </row>
    <row r="208" spans="1:8" x14ac:dyDescent="0.3">
      <c r="A208" t="s">
        <v>403</v>
      </c>
      <c r="B208" s="77" t="s">
        <v>147</v>
      </c>
      <c r="C208" s="77" t="s">
        <v>29</v>
      </c>
      <c r="D208" s="77" t="s">
        <v>187</v>
      </c>
      <c r="E208" s="77" t="s">
        <v>146</v>
      </c>
      <c r="F208" s="77" t="s">
        <v>146</v>
      </c>
      <c r="G208" s="77" t="s">
        <v>27</v>
      </c>
      <c r="H208" s="77"/>
    </row>
    <row r="209" spans="1:8" x14ac:dyDescent="0.3">
      <c r="A209" t="s">
        <v>403</v>
      </c>
      <c r="B209" s="77" t="s">
        <v>151</v>
      </c>
      <c r="C209" s="77" t="s">
        <v>29</v>
      </c>
      <c r="D209" s="77" t="s">
        <v>393</v>
      </c>
      <c r="E209" s="77" t="s">
        <v>42</v>
      </c>
      <c r="F209" s="77" t="s">
        <v>42</v>
      </c>
      <c r="G209" s="77" t="s">
        <v>27</v>
      </c>
      <c r="H209" s="77"/>
    </row>
    <row r="210" spans="1:8" x14ac:dyDescent="0.3">
      <c r="A210" t="s">
        <v>403</v>
      </c>
      <c r="B210" s="77" t="s">
        <v>155</v>
      </c>
      <c r="C210" s="77" t="s">
        <v>29</v>
      </c>
      <c r="D210" s="77" t="s">
        <v>375</v>
      </c>
      <c r="E210" s="77" t="s">
        <v>392</v>
      </c>
      <c r="F210" s="77" t="s">
        <v>187</v>
      </c>
      <c r="G210" s="77" t="s">
        <v>27</v>
      </c>
      <c r="H210" s="77"/>
    </row>
    <row r="211" spans="1:8" x14ac:dyDescent="0.3">
      <c r="A211" t="s">
        <v>403</v>
      </c>
      <c r="B211" s="77" t="s">
        <v>159</v>
      </c>
      <c r="C211" s="77" t="s">
        <v>29</v>
      </c>
      <c r="D211" s="77" t="s">
        <v>187</v>
      </c>
      <c r="E211" s="77" t="s">
        <v>402</v>
      </c>
      <c r="F211" s="77" t="s">
        <v>87</v>
      </c>
      <c r="G211" s="77" t="s">
        <v>27</v>
      </c>
      <c r="H211" s="77"/>
    </row>
    <row r="212" spans="1:8" x14ac:dyDescent="0.3">
      <c r="A212" t="s">
        <v>403</v>
      </c>
      <c r="B212" s="77" t="s">
        <v>163</v>
      </c>
      <c r="C212" s="77" t="s">
        <v>29</v>
      </c>
      <c r="D212" s="77" t="s">
        <v>393</v>
      </c>
      <c r="E212" s="77" t="s">
        <v>392</v>
      </c>
      <c r="F212" s="77" t="s">
        <v>51</v>
      </c>
      <c r="G212" s="77" t="s">
        <v>27</v>
      </c>
      <c r="H212" s="77"/>
    </row>
    <row r="213" spans="1:8" x14ac:dyDescent="0.3">
      <c r="A213" t="s">
        <v>403</v>
      </c>
      <c r="B213" s="77" t="s">
        <v>166</v>
      </c>
      <c r="C213" s="77" t="s">
        <v>29</v>
      </c>
      <c r="D213" s="77" t="s">
        <v>389</v>
      </c>
      <c r="E213" s="77" t="s">
        <v>392</v>
      </c>
      <c r="F213" s="77" t="s">
        <v>146</v>
      </c>
      <c r="G213" s="77" t="s">
        <v>27</v>
      </c>
      <c r="H213" s="77"/>
    </row>
    <row r="214" spans="1:8" x14ac:dyDescent="0.3">
      <c r="A214" t="s">
        <v>403</v>
      </c>
      <c r="B214" s="77" t="s">
        <v>170</v>
      </c>
      <c r="C214" s="77" t="s">
        <v>29</v>
      </c>
      <c r="D214" s="77" t="s">
        <v>187</v>
      </c>
      <c r="E214" s="77" t="s">
        <v>402</v>
      </c>
      <c r="F214" s="77" t="s">
        <v>87</v>
      </c>
      <c r="G214" s="77" t="s">
        <v>27</v>
      </c>
      <c r="H214" s="77"/>
    </row>
    <row r="215" spans="1:8" x14ac:dyDescent="0.3">
      <c r="A215" t="s">
        <v>403</v>
      </c>
      <c r="B215" s="77" t="s">
        <v>175</v>
      </c>
      <c r="C215" s="77" t="s">
        <v>29</v>
      </c>
      <c r="D215" s="77" t="s">
        <v>389</v>
      </c>
      <c r="E215" s="77" t="s">
        <v>51</v>
      </c>
      <c r="F215" s="77" t="s">
        <v>401</v>
      </c>
      <c r="G215" s="77" t="s">
        <v>27</v>
      </c>
      <c r="H215" s="77"/>
    </row>
    <row r="216" spans="1:8" x14ac:dyDescent="0.3">
      <c r="A216" t="s">
        <v>403</v>
      </c>
      <c r="B216" s="77" t="s">
        <v>179</v>
      </c>
      <c r="C216" s="77" t="s">
        <v>29</v>
      </c>
      <c r="D216" s="77" t="s">
        <v>187</v>
      </c>
      <c r="E216" s="77" t="s">
        <v>401</v>
      </c>
      <c r="F216" s="77" t="s">
        <v>174</v>
      </c>
      <c r="G216" s="77" t="s">
        <v>27</v>
      </c>
      <c r="H216" s="77"/>
    </row>
    <row r="217" spans="1:8" x14ac:dyDescent="0.3">
      <c r="A217" t="s">
        <v>405</v>
      </c>
      <c r="B217" s="77" t="s">
        <v>33</v>
      </c>
      <c r="C217" s="77" t="s">
        <v>29</v>
      </c>
      <c r="D217" s="77" t="s">
        <v>398</v>
      </c>
      <c r="E217" s="77" t="s">
        <v>384</v>
      </c>
      <c r="F217" s="77" t="s">
        <v>390</v>
      </c>
      <c r="G217" s="77" t="s">
        <v>27</v>
      </c>
      <c r="H217" s="77"/>
    </row>
    <row r="218" spans="1:8" x14ac:dyDescent="0.3">
      <c r="A218" t="s">
        <v>405</v>
      </c>
      <c r="B218" s="77" t="s">
        <v>38</v>
      </c>
      <c r="C218" s="77" t="s">
        <v>29</v>
      </c>
      <c r="D218" s="77" t="s">
        <v>349</v>
      </c>
      <c r="E218" s="77" t="s">
        <v>37</v>
      </c>
      <c r="F218" s="77" t="s">
        <v>385</v>
      </c>
      <c r="G218" s="77" t="s">
        <v>27</v>
      </c>
      <c r="H218" s="77"/>
    </row>
    <row r="219" spans="1:8" x14ac:dyDescent="0.3">
      <c r="A219" t="s">
        <v>405</v>
      </c>
      <c r="B219" s="77" t="s">
        <v>43</v>
      </c>
      <c r="C219" s="77" t="s">
        <v>29</v>
      </c>
      <c r="D219" s="77" t="s">
        <v>374</v>
      </c>
      <c r="E219" s="77" t="s">
        <v>389</v>
      </c>
      <c r="F219" s="77" t="s">
        <v>388</v>
      </c>
      <c r="G219" s="77" t="s">
        <v>27</v>
      </c>
      <c r="H219" s="77"/>
    </row>
    <row r="220" spans="1:8" x14ac:dyDescent="0.3">
      <c r="A220" t="s">
        <v>405</v>
      </c>
      <c r="B220" s="77" t="s">
        <v>47</v>
      </c>
      <c r="C220" s="77" t="s">
        <v>29</v>
      </c>
      <c r="D220" s="77" t="s">
        <v>353</v>
      </c>
      <c r="E220" s="77" t="s">
        <v>37</v>
      </c>
      <c r="F220" s="77" t="s">
        <v>133</v>
      </c>
      <c r="G220" s="77" t="s">
        <v>27</v>
      </c>
      <c r="H220" s="77"/>
    </row>
    <row r="221" spans="1:8" x14ac:dyDescent="0.3">
      <c r="A221" t="s">
        <v>405</v>
      </c>
      <c r="B221" s="77" t="s">
        <v>52</v>
      </c>
      <c r="C221" s="77" t="s">
        <v>29</v>
      </c>
      <c r="D221" s="77" t="s">
        <v>37</v>
      </c>
      <c r="E221" s="77" t="s">
        <v>390</v>
      </c>
      <c r="F221" s="77" t="s">
        <v>402</v>
      </c>
      <c r="G221" s="77" t="s">
        <v>27</v>
      </c>
      <c r="H221" s="77"/>
    </row>
    <row r="222" spans="1:8" x14ac:dyDescent="0.3">
      <c r="A222" t="s">
        <v>405</v>
      </c>
      <c r="B222" s="77" t="s">
        <v>57</v>
      </c>
      <c r="C222" s="77" t="s">
        <v>29</v>
      </c>
      <c r="D222" s="77" t="s">
        <v>382</v>
      </c>
      <c r="E222" s="77" t="s">
        <v>187</v>
      </c>
      <c r="F222" s="77" t="s">
        <v>42</v>
      </c>
      <c r="G222" s="77" t="s">
        <v>27</v>
      </c>
      <c r="H222" s="77"/>
    </row>
    <row r="223" spans="1:8" x14ac:dyDescent="0.3">
      <c r="A223" t="s">
        <v>405</v>
      </c>
      <c r="B223" s="77" t="s">
        <v>62</v>
      </c>
      <c r="C223" s="77" t="s">
        <v>29</v>
      </c>
      <c r="D223" s="77" t="s">
        <v>372</v>
      </c>
      <c r="E223" s="77" t="s">
        <v>385</v>
      </c>
      <c r="F223" s="77" t="s">
        <v>133</v>
      </c>
      <c r="G223" s="77" t="s">
        <v>27</v>
      </c>
      <c r="H223" s="77"/>
    </row>
    <row r="224" spans="1:8" x14ac:dyDescent="0.3">
      <c r="A224" t="s">
        <v>405</v>
      </c>
      <c r="B224" s="77" t="s">
        <v>66</v>
      </c>
      <c r="C224" s="77" t="s">
        <v>29</v>
      </c>
      <c r="D224" s="77" t="s">
        <v>381</v>
      </c>
      <c r="E224" s="77" t="s">
        <v>187</v>
      </c>
      <c r="F224" s="77" t="s">
        <v>390</v>
      </c>
      <c r="G224" s="77" t="s">
        <v>27</v>
      </c>
      <c r="H224" s="77"/>
    </row>
    <row r="225" spans="1:8" x14ac:dyDescent="0.3">
      <c r="A225" t="s">
        <v>405</v>
      </c>
      <c r="B225" s="77" t="s">
        <v>70</v>
      </c>
      <c r="C225" s="77" t="s">
        <v>29</v>
      </c>
      <c r="D225" s="77" t="s">
        <v>375</v>
      </c>
      <c r="E225" s="77" t="s">
        <v>402</v>
      </c>
      <c r="F225" s="77" t="s">
        <v>388</v>
      </c>
      <c r="G225" s="77" t="s">
        <v>27</v>
      </c>
      <c r="H225" s="77"/>
    </row>
    <row r="226" spans="1:8" x14ac:dyDescent="0.3">
      <c r="A226" t="s">
        <v>405</v>
      </c>
      <c r="B226" s="77" t="s">
        <v>75</v>
      </c>
      <c r="C226" s="77" t="s">
        <v>29</v>
      </c>
      <c r="D226" s="77" t="s">
        <v>37</v>
      </c>
      <c r="E226" s="77" t="s">
        <v>390</v>
      </c>
      <c r="F226" s="77" t="s">
        <v>42</v>
      </c>
      <c r="G226" s="77" t="s">
        <v>74</v>
      </c>
      <c r="H226" s="77"/>
    </row>
    <row r="227" spans="1:8" x14ac:dyDescent="0.3">
      <c r="A227" t="s">
        <v>405</v>
      </c>
      <c r="B227" s="77" t="s">
        <v>79</v>
      </c>
      <c r="C227" s="77" t="s">
        <v>29</v>
      </c>
      <c r="D227" s="77" t="s">
        <v>385</v>
      </c>
      <c r="E227" s="77" t="s">
        <v>42</v>
      </c>
      <c r="F227" s="77" t="s">
        <v>390</v>
      </c>
      <c r="G227" s="77" t="s">
        <v>27</v>
      </c>
      <c r="H227" s="77"/>
    </row>
    <row r="228" spans="1:8" x14ac:dyDescent="0.3">
      <c r="A228" t="s">
        <v>405</v>
      </c>
      <c r="B228" s="77" t="s">
        <v>83</v>
      </c>
      <c r="C228" s="77" t="s">
        <v>29</v>
      </c>
      <c r="D228" s="77" t="s">
        <v>386</v>
      </c>
      <c r="E228" s="77" t="s">
        <v>42</v>
      </c>
      <c r="F228" s="77" t="s">
        <v>401</v>
      </c>
      <c r="G228" s="77" t="s">
        <v>27</v>
      </c>
      <c r="H228" s="77"/>
    </row>
    <row r="229" spans="1:8" x14ac:dyDescent="0.3">
      <c r="A229" t="s">
        <v>405</v>
      </c>
      <c r="B229" s="77" t="s">
        <v>88</v>
      </c>
      <c r="C229" s="77" t="s">
        <v>29</v>
      </c>
      <c r="D229" s="77" t="s">
        <v>390</v>
      </c>
      <c r="E229" s="77" t="s">
        <v>42</v>
      </c>
      <c r="F229" s="77" t="s">
        <v>61</v>
      </c>
      <c r="G229" s="77" t="s">
        <v>27</v>
      </c>
      <c r="H229" s="77"/>
    </row>
    <row r="230" spans="1:8" x14ac:dyDescent="0.3">
      <c r="A230" t="s">
        <v>405</v>
      </c>
      <c r="B230" s="77" t="s">
        <v>92</v>
      </c>
      <c r="C230" s="77" t="s">
        <v>29</v>
      </c>
      <c r="D230" s="77" t="s">
        <v>393</v>
      </c>
      <c r="E230" s="77" t="s">
        <v>392</v>
      </c>
      <c r="F230" s="77" t="s">
        <v>51</v>
      </c>
      <c r="G230" s="77" t="s">
        <v>27</v>
      </c>
      <c r="H230" s="77"/>
    </row>
    <row r="231" spans="1:8" x14ac:dyDescent="0.3">
      <c r="A231" t="s">
        <v>405</v>
      </c>
      <c r="B231" s="77" t="s">
        <v>96</v>
      </c>
      <c r="C231" s="77" t="s">
        <v>29</v>
      </c>
      <c r="D231" s="77" t="s">
        <v>393</v>
      </c>
      <c r="E231" s="77" t="s">
        <v>401</v>
      </c>
      <c r="F231" s="77" t="s">
        <v>87</v>
      </c>
      <c r="G231" s="77" t="s">
        <v>27</v>
      </c>
      <c r="H231" s="77"/>
    </row>
    <row r="232" spans="1:8" x14ac:dyDescent="0.3">
      <c r="A232" t="s">
        <v>405</v>
      </c>
      <c r="B232" s="77" t="s">
        <v>100</v>
      </c>
      <c r="C232" s="77" t="s">
        <v>29</v>
      </c>
      <c r="D232" s="77" t="s">
        <v>388</v>
      </c>
      <c r="E232" s="77" t="s">
        <v>146</v>
      </c>
      <c r="F232" s="77" t="s">
        <v>42</v>
      </c>
      <c r="G232" s="77" t="s">
        <v>27</v>
      </c>
      <c r="H232" s="77"/>
    </row>
    <row r="233" spans="1:8" x14ac:dyDescent="0.3">
      <c r="A233" t="s">
        <v>405</v>
      </c>
      <c r="B233" s="77" t="s">
        <v>104</v>
      </c>
      <c r="C233" s="77" t="s">
        <v>29</v>
      </c>
      <c r="D233" s="77" t="s">
        <v>386</v>
      </c>
      <c r="E233" s="77" t="s">
        <v>402</v>
      </c>
      <c r="F233" s="77" t="s">
        <v>392</v>
      </c>
      <c r="G233" s="77" t="s">
        <v>27</v>
      </c>
      <c r="H233" s="77"/>
    </row>
    <row r="234" spans="1:8" x14ac:dyDescent="0.3">
      <c r="A234" t="s">
        <v>405</v>
      </c>
      <c r="B234" s="77" t="s">
        <v>108</v>
      </c>
      <c r="C234" s="77" t="s">
        <v>29</v>
      </c>
      <c r="D234" s="77" t="s">
        <v>133</v>
      </c>
      <c r="E234" s="77" t="s">
        <v>402</v>
      </c>
      <c r="F234" s="77" t="s">
        <v>61</v>
      </c>
      <c r="G234" s="77" t="s">
        <v>27</v>
      </c>
      <c r="H234" s="77"/>
    </row>
    <row r="235" spans="1:8" x14ac:dyDescent="0.3">
      <c r="A235" t="s">
        <v>405</v>
      </c>
      <c r="B235" s="77" t="s">
        <v>112</v>
      </c>
      <c r="C235" s="77" t="s">
        <v>29</v>
      </c>
      <c r="D235" s="77" t="s">
        <v>133</v>
      </c>
      <c r="E235" s="77" t="s">
        <v>146</v>
      </c>
      <c r="F235" s="77" t="s">
        <v>51</v>
      </c>
      <c r="G235" s="77" t="s">
        <v>27</v>
      </c>
      <c r="H235" s="77"/>
    </row>
    <row r="236" spans="1:8" x14ac:dyDescent="0.3">
      <c r="A236" t="s">
        <v>405</v>
      </c>
      <c r="B236" s="77" t="s">
        <v>116</v>
      </c>
      <c r="C236" s="77" t="s">
        <v>29</v>
      </c>
      <c r="D236" s="77" t="s">
        <v>376</v>
      </c>
      <c r="E236" s="77" t="s">
        <v>393</v>
      </c>
      <c r="F236" s="77" t="s">
        <v>402</v>
      </c>
      <c r="G236" s="77" t="s">
        <v>27</v>
      </c>
      <c r="H236" s="77"/>
    </row>
    <row r="237" spans="1:8" x14ac:dyDescent="0.3">
      <c r="A237" t="s">
        <v>405</v>
      </c>
      <c r="B237" s="77" t="s">
        <v>121</v>
      </c>
      <c r="C237" s="77" t="s">
        <v>29</v>
      </c>
      <c r="D237" s="77" t="s">
        <v>388</v>
      </c>
      <c r="E237" s="77" t="s">
        <v>392</v>
      </c>
      <c r="F237" s="77" t="s">
        <v>87</v>
      </c>
      <c r="G237" s="77" t="s">
        <v>27</v>
      </c>
      <c r="H237" s="77"/>
    </row>
    <row r="238" spans="1:8" x14ac:dyDescent="0.3">
      <c r="A238" t="s">
        <v>405</v>
      </c>
      <c r="B238" s="77" t="s">
        <v>125</v>
      </c>
      <c r="C238" s="77" t="s">
        <v>29</v>
      </c>
      <c r="D238" s="77" t="s">
        <v>400</v>
      </c>
      <c r="E238" s="77" t="s">
        <v>187</v>
      </c>
      <c r="F238" s="77" t="s">
        <v>402</v>
      </c>
      <c r="G238" s="77" t="s">
        <v>27</v>
      </c>
      <c r="H238" s="77"/>
    </row>
    <row r="239" spans="1:8" x14ac:dyDescent="0.3">
      <c r="A239" t="s">
        <v>405</v>
      </c>
      <c r="B239" s="77" t="s">
        <v>129</v>
      </c>
      <c r="C239" s="77" t="s">
        <v>29</v>
      </c>
      <c r="D239" s="77" t="s">
        <v>401</v>
      </c>
      <c r="E239" s="77" t="s">
        <v>146</v>
      </c>
      <c r="F239" s="77" t="s">
        <v>61</v>
      </c>
      <c r="G239" s="77" t="s">
        <v>27</v>
      </c>
      <c r="H239" s="77"/>
    </row>
    <row r="240" spans="1:8" x14ac:dyDescent="0.3">
      <c r="A240" t="s">
        <v>405</v>
      </c>
      <c r="B240" s="77" t="s">
        <v>134</v>
      </c>
      <c r="C240" s="77" t="s">
        <v>29</v>
      </c>
      <c r="D240" s="77" t="s">
        <v>187</v>
      </c>
      <c r="E240" s="77" t="s">
        <v>402</v>
      </c>
      <c r="F240" s="77" t="s">
        <v>87</v>
      </c>
      <c r="G240" s="77" t="s">
        <v>27</v>
      </c>
      <c r="H240" s="77"/>
    </row>
    <row r="241" spans="1:8" x14ac:dyDescent="0.3">
      <c r="A241" t="s">
        <v>405</v>
      </c>
      <c r="B241" s="77" t="s">
        <v>138</v>
      </c>
      <c r="C241" s="77" t="s">
        <v>29</v>
      </c>
      <c r="D241" s="77" t="s">
        <v>383</v>
      </c>
      <c r="E241" s="77" t="s">
        <v>392</v>
      </c>
      <c r="F241" s="77" t="s">
        <v>42</v>
      </c>
      <c r="G241" s="77" t="s">
        <v>27</v>
      </c>
      <c r="H241" s="77"/>
    </row>
    <row r="242" spans="1:8" x14ac:dyDescent="0.3">
      <c r="A242" t="s">
        <v>405</v>
      </c>
      <c r="B242" s="77" t="s">
        <v>142</v>
      </c>
      <c r="C242" s="77" t="s">
        <v>29</v>
      </c>
      <c r="D242" s="77" t="s">
        <v>388</v>
      </c>
      <c r="E242" s="77" t="s">
        <v>402</v>
      </c>
      <c r="F242" s="77" t="s">
        <v>51</v>
      </c>
      <c r="G242" s="77" t="s">
        <v>27</v>
      </c>
      <c r="H242" s="77"/>
    </row>
    <row r="243" spans="1:8" x14ac:dyDescent="0.3">
      <c r="A243" t="s">
        <v>405</v>
      </c>
      <c r="B243" s="77" t="s">
        <v>147</v>
      </c>
      <c r="C243" s="77" t="s">
        <v>29</v>
      </c>
      <c r="D243" s="77" t="s">
        <v>37</v>
      </c>
      <c r="E243" s="77" t="s">
        <v>392</v>
      </c>
      <c r="F243" s="77" t="s">
        <v>401</v>
      </c>
      <c r="G243" s="77" t="s">
        <v>27</v>
      </c>
      <c r="H243" s="77"/>
    </row>
    <row r="244" spans="1:8" x14ac:dyDescent="0.3">
      <c r="A244" t="s">
        <v>405</v>
      </c>
      <c r="B244" s="77" t="s">
        <v>151</v>
      </c>
      <c r="C244" s="77" t="s">
        <v>29</v>
      </c>
      <c r="D244" s="77" t="s">
        <v>393</v>
      </c>
      <c r="E244" s="77" t="s">
        <v>402</v>
      </c>
      <c r="F244" s="77" t="s">
        <v>146</v>
      </c>
      <c r="G244" s="77" t="s">
        <v>27</v>
      </c>
      <c r="H244" s="77"/>
    </row>
    <row r="245" spans="1:8" x14ac:dyDescent="0.3">
      <c r="A245" t="s">
        <v>405</v>
      </c>
      <c r="B245" s="77" t="s">
        <v>155</v>
      </c>
      <c r="C245" s="77" t="s">
        <v>29</v>
      </c>
      <c r="D245" s="77" t="s">
        <v>389</v>
      </c>
      <c r="E245" s="77" t="s">
        <v>87</v>
      </c>
      <c r="F245" s="77" t="s">
        <v>390</v>
      </c>
      <c r="G245" s="77" t="s">
        <v>27</v>
      </c>
      <c r="H245" s="77"/>
    </row>
    <row r="246" spans="1:8" x14ac:dyDescent="0.3">
      <c r="A246" t="s">
        <v>405</v>
      </c>
      <c r="B246" s="77" t="s">
        <v>159</v>
      </c>
      <c r="C246" s="77" t="s">
        <v>29</v>
      </c>
      <c r="D246" s="77" t="s">
        <v>402</v>
      </c>
      <c r="E246" s="77" t="s">
        <v>146</v>
      </c>
      <c r="F246" s="77" t="s">
        <v>56</v>
      </c>
      <c r="G246" s="77" t="s">
        <v>27</v>
      </c>
      <c r="H246" s="77"/>
    </row>
    <row r="247" spans="1:8" x14ac:dyDescent="0.3">
      <c r="A247" t="s">
        <v>405</v>
      </c>
      <c r="B247" s="77" t="s">
        <v>163</v>
      </c>
      <c r="C247" s="77" t="s">
        <v>29</v>
      </c>
      <c r="D247" s="77" t="s">
        <v>42</v>
      </c>
      <c r="E247" s="77" t="s">
        <v>61</v>
      </c>
      <c r="F247" s="77" t="s">
        <v>61</v>
      </c>
      <c r="G247" s="77" t="s">
        <v>27</v>
      </c>
      <c r="H247" s="77"/>
    </row>
    <row r="248" spans="1:8" x14ac:dyDescent="0.3">
      <c r="A248" t="s">
        <v>405</v>
      </c>
      <c r="B248" s="77" t="s">
        <v>166</v>
      </c>
      <c r="C248" s="77" t="s">
        <v>29</v>
      </c>
      <c r="D248" s="77" t="s">
        <v>393</v>
      </c>
      <c r="E248" s="77" t="s">
        <v>390</v>
      </c>
      <c r="F248" s="77" t="s">
        <v>61</v>
      </c>
      <c r="G248" s="77" t="s">
        <v>27</v>
      </c>
      <c r="H248" s="77"/>
    </row>
    <row r="249" spans="1:8" x14ac:dyDescent="0.3">
      <c r="A249" t="s">
        <v>405</v>
      </c>
      <c r="B249" s="77" t="s">
        <v>170</v>
      </c>
      <c r="C249" s="77" t="s">
        <v>29</v>
      </c>
      <c r="D249" s="77" t="s">
        <v>146</v>
      </c>
      <c r="E249" s="77" t="s">
        <v>87</v>
      </c>
      <c r="F249" s="77" t="s">
        <v>56</v>
      </c>
      <c r="G249" s="77" t="s">
        <v>27</v>
      </c>
      <c r="H249" s="77"/>
    </row>
    <row r="250" spans="1:8" x14ac:dyDescent="0.3">
      <c r="A250" t="s">
        <v>405</v>
      </c>
      <c r="B250" s="77" t="s">
        <v>175</v>
      </c>
      <c r="C250" s="77" t="s">
        <v>29</v>
      </c>
      <c r="D250" s="77" t="s">
        <v>386</v>
      </c>
      <c r="E250" s="77" t="s">
        <v>402</v>
      </c>
      <c r="F250" s="77" t="s">
        <v>392</v>
      </c>
      <c r="G250" s="77" t="s">
        <v>27</v>
      </c>
      <c r="H250" s="77"/>
    </row>
    <row r="251" spans="1:8" x14ac:dyDescent="0.3">
      <c r="A251" t="s">
        <v>405</v>
      </c>
      <c r="B251" s="77" t="s">
        <v>179</v>
      </c>
      <c r="C251" s="77" t="s">
        <v>29</v>
      </c>
      <c r="D251" s="77" t="s">
        <v>402</v>
      </c>
      <c r="E251" s="77" t="s">
        <v>51</v>
      </c>
      <c r="F251" s="77" t="s">
        <v>174</v>
      </c>
      <c r="G251" s="77" t="s">
        <v>27</v>
      </c>
      <c r="H251" s="77"/>
    </row>
    <row r="252" spans="1:8" x14ac:dyDescent="0.3">
      <c r="A252" t="s">
        <v>406</v>
      </c>
      <c r="B252" s="77" t="s">
        <v>33</v>
      </c>
      <c r="C252" s="77" t="s">
        <v>29</v>
      </c>
      <c r="D252" s="77" t="s">
        <v>407</v>
      </c>
      <c r="E252" s="77" t="s">
        <v>312</v>
      </c>
      <c r="F252" s="77" t="s">
        <v>313</v>
      </c>
      <c r="G252" s="77" t="s">
        <v>27</v>
      </c>
      <c r="H252" s="77"/>
    </row>
    <row r="253" spans="1:8" x14ac:dyDescent="0.3">
      <c r="A253" t="s">
        <v>406</v>
      </c>
      <c r="B253" s="77" t="s">
        <v>38</v>
      </c>
      <c r="C253" s="77" t="s">
        <v>29</v>
      </c>
      <c r="D253" s="77" t="s">
        <v>360</v>
      </c>
      <c r="E253" s="77" t="s">
        <v>315</v>
      </c>
      <c r="F253" s="77" t="s">
        <v>408</v>
      </c>
      <c r="G253" s="77" t="s">
        <v>74</v>
      </c>
      <c r="H253" s="77"/>
    </row>
    <row r="254" spans="1:8" x14ac:dyDescent="0.3">
      <c r="A254" t="s">
        <v>406</v>
      </c>
      <c r="B254" s="77" t="s">
        <v>43</v>
      </c>
      <c r="C254" s="77" t="s">
        <v>29</v>
      </c>
      <c r="D254" s="77" t="s">
        <v>320</v>
      </c>
      <c r="E254" s="77" t="s">
        <v>324</v>
      </c>
      <c r="F254" s="77" t="s">
        <v>351</v>
      </c>
      <c r="G254" s="77" t="s">
        <v>27</v>
      </c>
      <c r="H254" s="77"/>
    </row>
    <row r="255" spans="1:8" x14ac:dyDescent="0.3">
      <c r="A255" t="s">
        <v>406</v>
      </c>
      <c r="B255" s="77" t="s">
        <v>47</v>
      </c>
      <c r="C255" s="77" t="s">
        <v>29</v>
      </c>
      <c r="D255" s="77" t="s">
        <v>304</v>
      </c>
      <c r="E255" s="77" t="s">
        <v>313</v>
      </c>
      <c r="F255" s="77" t="s">
        <v>398</v>
      </c>
      <c r="G255" s="77" t="s">
        <v>27</v>
      </c>
      <c r="H255" s="77"/>
    </row>
    <row r="256" spans="1:8" x14ac:dyDescent="0.3">
      <c r="A256" t="s">
        <v>406</v>
      </c>
      <c r="B256" s="77" t="s">
        <v>52</v>
      </c>
      <c r="C256" s="77" t="s">
        <v>29</v>
      </c>
      <c r="D256" s="77" t="s">
        <v>409</v>
      </c>
      <c r="E256" s="77" t="s">
        <v>398</v>
      </c>
      <c r="F256" s="77" t="s">
        <v>404</v>
      </c>
      <c r="G256" s="77" t="s">
        <v>27</v>
      </c>
      <c r="H256" s="77"/>
    </row>
    <row r="257" spans="1:8" x14ac:dyDescent="0.3">
      <c r="A257" t="s">
        <v>406</v>
      </c>
      <c r="B257" s="77" t="s">
        <v>57</v>
      </c>
      <c r="C257" s="77" t="s">
        <v>29</v>
      </c>
      <c r="D257" s="77" t="s">
        <v>305</v>
      </c>
      <c r="E257" s="77" t="s">
        <v>334</v>
      </c>
      <c r="F257" s="77" t="s">
        <v>384</v>
      </c>
      <c r="G257" s="77" t="s">
        <v>27</v>
      </c>
      <c r="H257" s="77"/>
    </row>
    <row r="258" spans="1:8" x14ac:dyDescent="0.3">
      <c r="A258" t="s">
        <v>406</v>
      </c>
      <c r="B258" s="77" t="s">
        <v>62</v>
      </c>
      <c r="C258" s="77" t="s">
        <v>29</v>
      </c>
      <c r="D258" s="77" t="s">
        <v>410</v>
      </c>
      <c r="E258" s="77" t="s">
        <v>411</v>
      </c>
      <c r="F258" s="77" t="s">
        <v>342</v>
      </c>
      <c r="G258" s="77" t="s">
        <v>27</v>
      </c>
      <c r="H258" s="77"/>
    </row>
    <row r="259" spans="1:8" x14ac:dyDescent="0.3">
      <c r="A259" t="s">
        <v>406</v>
      </c>
      <c r="B259" s="77" t="s">
        <v>66</v>
      </c>
      <c r="C259" s="77" t="s">
        <v>29</v>
      </c>
      <c r="D259" s="77" t="s">
        <v>412</v>
      </c>
      <c r="E259" s="77" t="s">
        <v>370</v>
      </c>
      <c r="F259" s="77" t="s">
        <v>377</v>
      </c>
      <c r="G259" s="77" t="s">
        <v>27</v>
      </c>
      <c r="H259" s="77"/>
    </row>
    <row r="260" spans="1:8" x14ac:dyDescent="0.3">
      <c r="A260" t="s">
        <v>406</v>
      </c>
      <c r="B260" s="77" t="s">
        <v>70</v>
      </c>
      <c r="C260" s="77" t="s">
        <v>29</v>
      </c>
      <c r="D260" s="77" t="s">
        <v>357</v>
      </c>
      <c r="E260" s="77" t="s">
        <v>411</v>
      </c>
      <c r="F260" s="77" t="s">
        <v>399</v>
      </c>
      <c r="G260" s="77" t="s">
        <v>27</v>
      </c>
      <c r="H260" s="77"/>
    </row>
    <row r="261" spans="1:8" x14ac:dyDescent="0.3">
      <c r="A261" t="s">
        <v>406</v>
      </c>
      <c r="B261" s="77" t="s">
        <v>75</v>
      </c>
      <c r="C261" s="77" t="s">
        <v>29</v>
      </c>
      <c r="D261" s="77" t="s">
        <v>352</v>
      </c>
      <c r="E261" s="77" t="s">
        <v>398</v>
      </c>
      <c r="F261" s="77" t="s">
        <v>381</v>
      </c>
      <c r="G261" s="77" t="s">
        <v>27</v>
      </c>
      <c r="H261" s="77"/>
    </row>
    <row r="262" spans="1:8" x14ac:dyDescent="0.3">
      <c r="A262" t="s">
        <v>406</v>
      </c>
      <c r="B262" s="77" t="s">
        <v>79</v>
      </c>
      <c r="C262" s="77" t="s">
        <v>29</v>
      </c>
      <c r="D262" s="77" t="s">
        <v>362</v>
      </c>
      <c r="E262" s="77" t="s">
        <v>349</v>
      </c>
      <c r="F262" s="77" t="s">
        <v>384</v>
      </c>
      <c r="G262" s="77" t="s">
        <v>27</v>
      </c>
      <c r="H262" s="77"/>
    </row>
    <row r="263" spans="1:8" x14ac:dyDescent="0.3">
      <c r="A263" t="s">
        <v>406</v>
      </c>
      <c r="B263" s="77" t="s">
        <v>83</v>
      </c>
      <c r="C263" s="77" t="s">
        <v>29</v>
      </c>
      <c r="D263" s="77" t="s">
        <v>413</v>
      </c>
      <c r="E263" s="77" t="s">
        <v>342</v>
      </c>
      <c r="F263" s="77" t="s">
        <v>378</v>
      </c>
      <c r="G263" s="77" t="s">
        <v>27</v>
      </c>
      <c r="H263" s="77"/>
    </row>
    <row r="264" spans="1:8" x14ac:dyDescent="0.3">
      <c r="A264" t="s">
        <v>406</v>
      </c>
      <c r="B264" s="77" t="s">
        <v>88</v>
      </c>
      <c r="C264" s="77" t="s">
        <v>29</v>
      </c>
      <c r="D264" s="77" t="s">
        <v>365</v>
      </c>
      <c r="E264" s="77" t="s">
        <v>399</v>
      </c>
      <c r="F264" s="77" t="s">
        <v>353</v>
      </c>
      <c r="G264" s="77" t="s">
        <v>27</v>
      </c>
      <c r="H264" s="77"/>
    </row>
    <row r="265" spans="1:8" x14ac:dyDescent="0.3">
      <c r="A265" t="s">
        <v>406</v>
      </c>
      <c r="B265" s="77" t="s">
        <v>92</v>
      </c>
      <c r="C265" s="77" t="s">
        <v>29</v>
      </c>
      <c r="D265" s="77" t="s">
        <v>321</v>
      </c>
      <c r="E265" s="77" t="s">
        <v>370</v>
      </c>
      <c r="F265" s="77" t="s">
        <v>382</v>
      </c>
      <c r="G265" s="77" t="s">
        <v>27</v>
      </c>
      <c r="H265" s="77"/>
    </row>
    <row r="266" spans="1:8" x14ac:dyDescent="0.3">
      <c r="A266" t="s">
        <v>406</v>
      </c>
      <c r="B266" s="77" t="s">
        <v>96</v>
      </c>
      <c r="C266" s="77" t="s">
        <v>29</v>
      </c>
      <c r="D266" s="77" t="s">
        <v>414</v>
      </c>
      <c r="E266" s="77" t="s">
        <v>349</v>
      </c>
      <c r="F266" s="77" t="s">
        <v>391</v>
      </c>
      <c r="G266" s="77" t="s">
        <v>27</v>
      </c>
      <c r="H266" s="77"/>
    </row>
    <row r="267" spans="1:8" x14ac:dyDescent="0.3">
      <c r="A267" t="s">
        <v>406</v>
      </c>
      <c r="B267" s="77" t="s">
        <v>100</v>
      </c>
      <c r="C267" s="77" t="s">
        <v>29</v>
      </c>
      <c r="D267" s="77" t="s">
        <v>369</v>
      </c>
      <c r="E267" s="77" t="s">
        <v>355</v>
      </c>
      <c r="F267" s="77" t="s">
        <v>353</v>
      </c>
      <c r="G267" s="77" t="s">
        <v>74</v>
      </c>
      <c r="H267" s="77"/>
    </row>
    <row r="268" spans="1:8" x14ac:dyDescent="0.3">
      <c r="A268" t="s">
        <v>406</v>
      </c>
      <c r="B268" s="77" t="s">
        <v>104</v>
      </c>
      <c r="C268" s="77" t="s">
        <v>29</v>
      </c>
      <c r="D268" s="77" t="s">
        <v>344</v>
      </c>
      <c r="E268" s="77" t="s">
        <v>404</v>
      </c>
      <c r="F268" s="77" t="s">
        <v>37</v>
      </c>
      <c r="G268" s="77" t="s">
        <v>27</v>
      </c>
      <c r="H268" s="77"/>
    </row>
    <row r="269" spans="1:8" x14ac:dyDescent="0.3">
      <c r="A269" t="s">
        <v>406</v>
      </c>
      <c r="B269" s="77" t="s">
        <v>108</v>
      </c>
      <c r="C269" s="77" t="s">
        <v>29</v>
      </c>
      <c r="D269" s="77" t="s">
        <v>411</v>
      </c>
      <c r="E269" s="77" t="s">
        <v>379</v>
      </c>
      <c r="F269" s="77" t="s">
        <v>376</v>
      </c>
      <c r="G269" s="77" t="s">
        <v>27</v>
      </c>
      <c r="H269" s="77"/>
    </row>
    <row r="270" spans="1:8" x14ac:dyDescent="0.3">
      <c r="A270" t="s">
        <v>406</v>
      </c>
      <c r="B270" s="77" t="s">
        <v>112</v>
      </c>
      <c r="C270" s="77" t="s">
        <v>29</v>
      </c>
      <c r="D270" s="77" t="s">
        <v>333</v>
      </c>
      <c r="E270" s="77" t="s">
        <v>371</v>
      </c>
      <c r="F270" s="77" t="s">
        <v>404</v>
      </c>
      <c r="G270" s="77" t="s">
        <v>27</v>
      </c>
      <c r="H270" s="77"/>
    </row>
    <row r="271" spans="1:8" x14ac:dyDescent="0.3">
      <c r="A271" t="s">
        <v>406</v>
      </c>
      <c r="B271" s="77" t="s">
        <v>116</v>
      </c>
      <c r="C271" s="77" t="s">
        <v>29</v>
      </c>
      <c r="D271" s="77" t="s">
        <v>362</v>
      </c>
      <c r="E271" s="77" t="s">
        <v>384</v>
      </c>
      <c r="F271" s="77" t="s">
        <v>349</v>
      </c>
      <c r="G271" s="77" t="s">
        <v>27</v>
      </c>
      <c r="H271" s="77"/>
    </row>
    <row r="272" spans="1:8" x14ac:dyDescent="0.3">
      <c r="A272" t="s">
        <v>406</v>
      </c>
      <c r="B272" s="77" t="s">
        <v>121</v>
      </c>
      <c r="C272" s="77" t="s">
        <v>29</v>
      </c>
      <c r="D272" s="77" t="s">
        <v>414</v>
      </c>
      <c r="E272" s="77" t="s">
        <v>415</v>
      </c>
      <c r="F272" s="77" t="s">
        <v>373</v>
      </c>
      <c r="G272" s="77" t="s">
        <v>27</v>
      </c>
      <c r="H272" s="77"/>
    </row>
    <row r="273" spans="1:8" x14ac:dyDescent="0.3">
      <c r="A273" t="s">
        <v>406</v>
      </c>
      <c r="B273" s="77" t="s">
        <v>125</v>
      </c>
      <c r="C273" s="77" t="s">
        <v>29</v>
      </c>
      <c r="D273" s="77" t="s">
        <v>315</v>
      </c>
      <c r="E273" s="77" t="s">
        <v>349</v>
      </c>
      <c r="F273" s="77" t="s">
        <v>380</v>
      </c>
      <c r="G273" s="77" t="s">
        <v>27</v>
      </c>
      <c r="H273" s="77"/>
    </row>
    <row r="274" spans="1:8" x14ac:dyDescent="0.3">
      <c r="A274" t="s">
        <v>406</v>
      </c>
      <c r="B274" s="77" t="s">
        <v>129</v>
      </c>
      <c r="C274" s="77" t="s">
        <v>29</v>
      </c>
      <c r="D274" s="77" t="s">
        <v>338</v>
      </c>
      <c r="E274" s="77" t="s">
        <v>387</v>
      </c>
      <c r="F274" s="77" t="s">
        <v>400</v>
      </c>
      <c r="G274" s="77" t="s">
        <v>27</v>
      </c>
      <c r="H274" s="77"/>
    </row>
    <row r="275" spans="1:8" x14ac:dyDescent="0.3">
      <c r="A275" t="s">
        <v>406</v>
      </c>
      <c r="B275" s="77" t="s">
        <v>134</v>
      </c>
      <c r="C275" s="77" t="s">
        <v>29</v>
      </c>
      <c r="D275" s="77" t="s">
        <v>408</v>
      </c>
      <c r="E275" s="77" t="s">
        <v>372</v>
      </c>
      <c r="F275" s="77" t="s">
        <v>379</v>
      </c>
      <c r="G275" s="77" t="s">
        <v>27</v>
      </c>
      <c r="H275" s="77"/>
    </row>
    <row r="276" spans="1:8" x14ac:dyDescent="0.3">
      <c r="A276" t="s">
        <v>406</v>
      </c>
      <c r="B276" s="77" t="s">
        <v>138</v>
      </c>
      <c r="C276" s="77" t="s">
        <v>29</v>
      </c>
      <c r="D276" s="77" t="s">
        <v>335</v>
      </c>
      <c r="E276" s="77" t="s">
        <v>380</v>
      </c>
      <c r="F276" s="77" t="s">
        <v>356</v>
      </c>
      <c r="G276" s="77" t="s">
        <v>27</v>
      </c>
      <c r="H276" s="77"/>
    </row>
    <row r="277" spans="1:8" x14ac:dyDescent="0.3">
      <c r="A277" t="s">
        <v>406</v>
      </c>
      <c r="B277" s="77" t="s">
        <v>142</v>
      </c>
      <c r="C277" s="77" t="s">
        <v>29</v>
      </c>
      <c r="D277" s="77" t="s">
        <v>342</v>
      </c>
      <c r="E277" s="77" t="s">
        <v>380</v>
      </c>
      <c r="F277" s="77" t="s">
        <v>382</v>
      </c>
      <c r="G277" s="77" t="s">
        <v>27</v>
      </c>
      <c r="H277" s="77"/>
    </row>
    <row r="278" spans="1:8" x14ac:dyDescent="0.3">
      <c r="A278" t="s">
        <v>406</v>
      </c>
      <c r="B278" s="77" t="s">
        <v>147</v>
      </c>
      <c r="C278" s="77" t="s">
        <v>29</v>
      </c>
      <c r="D278" s="77" t="s">
        <v>416</v>
      </c>
      <c r="E278" s="77" t="s">
        <v>371</v>
      </c>
      <c r="F278" s="77" t="s">
        <v>372</v>
      </c>
      <c r="G278" s="77" t="s">
        <v>27</v>
      </c>
      <c r="H278" s="77"/>
    </row>
    <row r="279" spans="1:8" x14ac:dyDescent="0.3">
      <c r="A279" t="s">
        <v>406</v>
      </c>
      <c r="B279" s="77" t="s">
        <v>151</v>
      </c>
      <c r="C279" s="77" t="s">
        <v>29</v>
      </c>
      <c r="D279" s="77" t="s">
        <v>342</v>
      </c>
      <c r="E279" s="77" t="s">
        <v>376</v>
      </c>
      <c r="F279" s="77" t="s">
        <v>356</v>
      </c>
      <c r="G279" s="77" t="s">
        <v>27</v>
      </c>
      <c r="H279" s="77"/>
    </row>
    <row r="280" spans="1:8" x14ac:dyDescent="0.3">
      <c r="A280" t="s">
        <v>406</v>
      </c>
      <c r="B280" s="77" t="s">
        <v>155</v>
      </c>
      <c r="C280" s="77" t="s">
        <v>29</v>
      </c>
      <c r="D280" s="77" t="s">
        <v>417</v>
      </c>
      <c r="E280" s="77" t="s">
        <v>404</v>
      </c>
      <c r="F280" s="77" t="s">
        <v>374</v>
      </c>
      <c r="G280" s="77" t="s">
        <v>27</v>
      </c>
      <c r="H280" s="77"/>
    </row>
    <row r="281" spans="1:8" x14ac:dyDescent="0.3">
      <c r="A281" t="s">
        <v>406</v>
      </c>
      <c r="B281" s="77" t="s">
        <v>159</v>
      </c>
      <c r="C281" s="77" t="s">
        <v>29</v>
      </c>
      <c r="D281" s="77" t="s">
        <v>408</v>
      </c>
      <c r="E281" s="77" t="s">
        <v>399</v>
      </c>
      <c r="F281" s="77" t="s">
        <v>37</v>
      </c>
      <c r="G281" s="77" t="s">
        <v>27</v>
      </c>
      <c r="H281" s="77"/>
    </row>
    <row r="282" spans="1:8" x14ac:dyDescent="0.3">
      <c r="A282" t="s">
        <v>406</v>
      </c>
      <c r="B282" s="77" t="s">
        <v>163</v>
      </c>
      <c r="C282" s="77" t="s">
        <v>29</v>
      </c>
      <c r="D282" s="77" t="s">
        <v>351</v>
      </c>
      <c r="E282" s="77" t="s">
        <v>373</v>
      </c>
      <c r="F282" s="77" t="s">
        <v>37</v>
      </c>
      <c r="G282" s="77" t="s">
        <v>27</v>
      </c>
      <c r="H282" s="77"/>
    </row>
    <row r="283" spans="1:8" x14ac:dyDescent="0.3">
      <c r="A283" t="s">
        <v>406</v>
      </c>
      <c r="B283" s="77" t="s">
        <v>166</v>
      </c>
      <c r="C283" s="77" t="s">
        <v>29</v>
      </c>
      <c r="D283" s="77" t="s">
        <v>370</v>
      </c>
      <c r="E283" s="77" t="s">
        <v>120</v>
      </c>
      <c r="F283" s="77" t="s">
        <v>386</v>
      </c>
      <c r="G283" s="77" t="s">
        <v>27</v>
      </c>
      <c r="H283" s="77"/>
    </row>
    <row r="284" spans="1:8" x14ac:dyDescent="0.3">
      <c r="A284" t="s">
        <v>406</v>
      </c>
      <c r="B284" s="77" t="s">
        <v>170</v>
      </c>
      <c r="C284" s="77" t="s">
        <v>29</v>
      </c>
      <c r="D284" s="77" t="s">
        <v>366</v>
      </c>
      <c r="E284" s="77" t="s">
        <v>353</v>
      </c>
      <c r="F284" s="77" t="s">
        <v>356</v>
      </c>
      <c r="G284" s="77" t="s">
        <v>27</v>
      </c>
      <c r="H284" s="77"/>
    </row>
    <row r="285" spans="1:8" x14ac:dyDescent="0.3">
      <c r="A285" t="s">
        <v>406</v>
      </c>
      <c r="B285" s="77" t="s">
        <v>175</v>
      </c>
      <c r="C285" s="77" t="s">
        <v>29</v>
      </c>
      <c r="D285" s="77" t="s">
        <v>398</v>
      </c>
      <c r="E285" s="77" t="s">
        <v>380</v>
      </c>
      <c r="F285" s="77" t="s">
        <v>37</v>
      </c>
      <c r="G285" s="77" t="s">
        <v>27</v>
      </c>
      <c r="H285" s="77"/>
    </row>
    <row r="286" spans="1:8" x14ac:dyDescent="0.3">
      <c r="A286" t="s">
        <v>406</v>
      </c>
      <c r="B286" s="77" t="s">
        <v>179</v>
      </c>
      <c r="C286" s="77" t="s">
        <v>29</v>
      </c>
      <c r="D286" s="77" t="s">
        <v>411</v>
      </c>
      <c r="E286" s="77" t="s">
        <v>404</v>
      </c>
      <c r="F286" s="77" t="s">
        <v>385</v>
      </c>
      <c r="G286" s="77" t="s">
        <v>27</v>
      </c>
      <c r="H286" s="77"/>
    </row>
    <row r="287" spans="1:8" x14ac:dyDescent="0.3">
      <c r="A287" t="s">
        <v>418</v>
      </c>
      <c r="B287" s="77" t="s">
        <v>33</v>
      </c>
      <c r="C287" s="77" t="s">
        <v>29</v>
      </c>
      <c r="D287" s="77" t="s">
        <v>419</v>
      </c>
      <c r="E287" s="77" t="s">
        <v>420</v>
      </c>
      <c r="F287" s="77" t="s">
        <v>417</v>
      </c>
      <c r="G287" s="77" t="s">
        <v>27</v>
      </c>
      <c r="H287" s="77"/>
    </row>
    <row r="288" spans="1:8" x14ac:dyDescent="0.3">
      <c r="A288" t="s">
        <v>418</v>
      </c>
      <c r="B288" s="77" t="s">
        <v>38</v>
      </c>
      <c r="C288" s="77" t="s">
        <v>29</v>
      </c>
      <c r="D288" s="77" t="s">
        <v>421</v>
      </c>
      <c r="E288" s="77" t="s">
        <v>408</v>
      </c>
      <c r="F288" s="77" t="s">
        <v>415</v>
      </c>
      <c r="G288" s="77" t="s">
        <v>27</v>
      </c>
      <c r="H288" s="77"/>
    </row>
    <row r="289" spans="1:8" x14ac:dyDescent="0.3">
      <c r="A289" t="s">
        <v>418</v>
      </c>
      <c r="B289" s="77" t="s">
        <v>43</v>
      </c>
      <c r="C289" s="77" t="s">
        <v>29</v>
      </c>
      <c r="D289" s="77" t="s">
        <v>422</v>
      </c>
      <c r="E289" s="77" t="s">
        <v>324</v>
      </c>
      <c r="F289" s="77" t="s">
        <v>353</v>
      </c>
      <c r="G289" s="77" t="s">
        <v>27</v>
      </c>
      <c r="H289" s="77"/>
    </row>
    <row r="290" spans="1:8" x14ac:dyDescent="0.3">
      <c r="A290" t="s">
        <v>418</v>
      </c>
      <c r="B290" s="77" t="s">
        <v>47</v>
      </c>
      <c r="C290" s="77" t="s">
        <v>29</v>
      </c>
      <c r="D290" s="77" t="s">
        <v>364</v>
      </c>
      <c r="E290" s="77" t="s">
        <v>334</v>
      </c>
      <c r="F290" s="77" t="s">
        <v>356</v>
      </c>
      <c r="G290" s="77" t="s">
        <v>27</v>
      </c>
      <c r="H290" s="77"/>
    </row>
    <row r="291" spans="1:8" x14ac:dyDescent="0.3">
      <c r="A291" t="s">
        <v>418</v>
      </c>
      <c r="B291" s="77" t="s">
        <v>52</v>
      </c>
      <c r="C291" s="77" t="s">
        <v>29</v>
      </c>
      <c r="D291" s="77" t="s">
        <v>423</v>
      </c>
      <c r="E291" s="77" t="s">
        <v>335</v>
      </c>
      <c r="F291" s="77" t="s">
        <v>370</v>
      </c>
      <c r="G291" s="77" t="s">
        <v>27</v>
      </c>
      <c r="H291" s="77"/>
    </row>
    <row r="292" spans="1:8" x14ac:dyDescent="0.3">
      <c r="A292" t="s">
        <v>418</v>
      </c>
      <c r="B292" s="77" t="s">
        <v>57</v>
      </c>
      <c r="C292" s="77" t="s">
        <v>29</v>
      </c>
      <c r="D292" s="77" t="s">
        <v>424</v>
      </c>
      <c r="E292" s="77" t="s">
        <v>321</v>
      </c>
      <c r="F292" s="77" t="s">
        <v>378</v>
      </c>
      <c r="G292" s="77" t="s">
        <v>27</v>
      </c>
      <c r="H292" s="77"/>
    </row>
    <row r="293" spans="1:8" x14ac:dyDescent="0.3">
      <c r="A293" t="s">
        <v>418</v>
      </c>
      <c r="B293" s="77" t="s">
        <v>62</v>
      </c>
      <c r="C293" s="77" t="s">
        <v>29</v>
      </c>
      <c r="D293" s="77" t="s">
        <v>425</v>
      </c>
      <c r="E293" s="77" t="s">
        <v>344</v>
      </c>
      <c r="F293" s="77" t="s">
        <v>372</v>
      </c>
      <c r="G293" s="77" t="s">
        <v>27</v>
      </c>
      <c r="H293" s="77"/>
    </row>
    <row r="294" spans="1:8" x14ac:dyDescent="0.3">
      <c r="A294" t="s">
        <v>418</v>
      </c>
      <c r="B294" s="77" t="s">
        <v>66</v>
      </c>
      <c r="C294" s="77" t="s">
        <v>29</v>
      </c>
      <c r="D294" s="77" t="s">
        <v>368</v>
      </c>
      <c r="E294" s="77" t="s">
        <v>334</v>
      </c>
      <c r="F294" s="77" t="s">
        <v>349</v>
      </c>
      <c r="G294" s="77" t="s">
        <v>27</v>
      </c>
      <c r="H294" s="77"/>
    </row>
    <row r="295" spans="1:8" x14ac:dyDescent="0.3">
      <c r="A295" t="s">
        <v>418</v>
      </c>
      <c r="B295" s="77" t="s">
        <v>70</v>
      </c>
      <c r="C295" s="77" t="s">
        <v>29</v>
      </c>
      <c r="D295" s="77" t="s">
        <v>346</v>
      </c>
      <c r="E295" s="77" t="s">
        <v>344</v>
      </c>
      <c r="F295" s="77" t="s">
        <v>415</v>
      </c>
      <c r="G295" s="77" t="s">
        <v>27</v>
      </c>
      <c r="H295" s="77"/>
    </row>
    <row r="296" spans="1:8" x14ac:dyDescent="0.3">
      <c r="A296" t="s">
        <v>418</v>
      </c>
      <c r="B296" s="77" t="s">
        <v>75</v>
      </c>
      <c r="C296" s="77" t="s">
        <v>29</v>
      </c>
      <c r="D296" s="77" t="s">
        <v>367</v>
      </c>
      <c r="E296" s="77" t="s">
        <v>319</v>
      </c>
      <c r="F296" s="77" t="s">
        <v>349</v>
      </c>
      <c r="G296" s="77" t="s">
        <v>27</v>
      </c>
      <c r="H296" s="77"/>
    </row>
    <row r="297" spans="1:8" x14ac:dyDescent="0.3">
      <c r="A297" t="s">
        <v>418</v>
      </c>
      <c r="B297" s="77" t="s">
        <v>79</v>
      </c>
      <c r="C297" s="77" t="s">
        <v>29</v>
      </c>
      <c r="D297" s="77" t="s">
        <v>420</v>
      </c>
      <c r="E297" s="77" t="s">
        <v>335</v>
      </c>
      <c r="F297" s="77" t="s">
        <v>374</v>
      </c>
      <c r="G297" s="77" t="s">
        <v>27</v>
      </c>
      <c r="H297" s="77"/>
    </row>
    <row r="298" spans="1:8" x14ac:dyDescent="0.3">
      <c r="A298" t="s">
        <v>418</v>
      </c>
      <c r="B298" s="77" t="s">
        <v>83</v>
      </c>
      <c r="C298" s="77" t="s">
        <v>29</v>
      </c>
      <c r="D298" s="77" t="s">
        <v>426</v>
      </c>
      <c r="E298" s="77" t="s">
        <v>334</v>
      </c>
      <c r="F298" s="77" t="s">
        <v>376</v>
      </c>
      <c r="G298" s="77" t="s">
        <v>27</v>
      </c>
      <c r="H298" s="77"/>
    </row>
    <row r="299" spans="1:8" x14ac:dyDescent="0.3">
      <c r="A299" t="s">
        <v>418</v>
      </c>
      <c r="B299" s="77" t="s">
        <v>88</v>
      </c>
      <c r="C299" s="77" t="s">
        <v>29</v>
      </c>
      <c r="D299" s="77" t="s">
        <v>312</v>
      </c>
      <c r="E299" s="77" t="s">
        <v>338</v>
      </c>
      <c r="F299" s="77" t="s">
        <v>379</v>
      </c>
      <c r="G299" s="77" t="s">
        <v>27</v>
      </c>
      <c r="H299" s="77"/>
    </row>
    <row r="300" spans="1:8" x14ac:dyDescent="0.3">
      <c r="A300" t="s">
        <v>418</v>
      </c>
      <c r="B300" s="77" t="s">
        <v>92</v>
      </c>
      <c r="C300" s="77" t="s">
        <v>29</v>
      </c>
      <c r="D300" s="77" t="s">
        <v>312</v>
      </c>
      <c r="E300" s="77" t="s">
        <v>318</v>
      </c>
      <c r="F300" s="77" t="s">
        <v>404</v>
      </c>
      <c r="G300" s="77" t="s">
        <v>27</v>
      </c>
      <c r="H300" s="77"/>
    </row>
    <row r="301" spans="1:8" x14ac:dyDescent="0.3">
      <c r="A301" t="s">
        <v>418</v>
      </c>
      <c r="B301" s="77" t="s">
        <v>96</v>
      </c>
      <c r="C301" s="77" t="s">
        <v>29</v>
      </c>
      <c r="D301" s="77" t="s">
        <v>369</v>
      </c>
      <c r="E301" s="77" t="s">
        <v>349</v>
      </c>
      <c r="F301" s="77" t="s">
        <v>387</v>
      </c>
      <c r="G301" s="77" t="s">
        <v>27</v>
      </c>
      <c r="H301" s="77"/>
    </row>
    <row r="302" spans="1:8" x14ac:dyDescent="0.3">
      <c r="A302" t="s">
        <v>418</v>
      </c>
      <c r="B302" s="77" t="s">
        <v>100</v>
      </c>
      <c r="C302" s="77" t="s">
        <v>29</v>
      </c>
      <c r="D302" s="77" t="s">
        <v>316</v>
      </c>
      <c r="E302" s="77" t="s">
        <v>350</v>
      </c>
      <c r="F302" s="77" t="s">
        <v>353</v>
      </c>
      <c r="G302" s="77" t="s">
        <v>27</v>
      </c>
      <c r="H302" s="77"/>
    </row>
    <row r="303" spans="1:8" x14ac:dyDescent="0.3">
      <c r="A303" t="s">
        <v>418</v>
      </c>
      <c r="B303" s="77" t="s">
        <v>104</v>
      </c>
      <c r="C303" s="77" t="s">
        <v>29</v>
      </c>
      <c r="D303" s="77" t="s">
        <v>305</v>
      </c>
      <c r="E303" s="77" t="s">
        <v>416</v>
      </c>
      <c r="F303" s="77" t="s">
        <v>373</v>
      </c>
      <c r="G303" s="77" t="s">
        <v>27</v>
      </c>
      <c r="H303" s="77"/>
    </row>
    <row r="304" spans="1:8" x14ac:dyDescent="0.3">
      <c r="A304" t="s">
        <v>418</v>
      </c>
      <c r="B304" s="77" t="s">
        <v>108</v>
      </c>
      <c r="C304" s="77" t="s">
        <v>29</v>
      </c>
      <c r="D304" s="77" t="s">
        <v>362</v>
      </c>
      <c r="E304" s="77" t="s">
        <v>370</v>
      </c>
      <c r="F304" s="77" t="s">
        <v>404</v>
      </c>
      <c r="G304" s="77" t="s">
        <v>27</v>
      </c>
      <c r="H304" s="77"/>
    </row>
    <row r="305" spans="1:8" x14ac:dyDescent="0.3">
      <c r="A305" t="s">
        <v>418</v>
      </c>
      <c r="B305" s="77" t="s">
        <v>112</v>
      </c>
      <c r="C305" s="77" t="s">
        <v>29</v>
      </c>
      <c r="D305" s="77" t="s">
        <v>312</v>
      </c>
      <c r="E305" s="77" t="s">
        <v>408</v>
      </c>
      <c r="F305" s="77" t="s">
        <v>372</v>
      </c>
      <c r="G305" s="77" t="s">
        <v>27</v>
      </c>
      <c r="H305" s="77"/>
    </row>
    <row r="306" spans="1:8" x14ac:dyDescent="0.3">
      <c r="A306" t="s">
        <v>418</v>
      </c>
      <c r="B306" s="77" t="s">
        <v>116</v>
      </c>
      <c r="C306" s="77" t="s">
        <v>29</v>
      </c>
      <c r="D306" s="77" t="s">
        <v>346</v>
      </c>
      <c r="E306" s="77" t="s">
        <v>408</v>
      </c>
      <c r="F306" s="77" t="s">
        <v>349</v>
      </c>
      <c r="G306" s="77" t="s">
        <v>27</v>
      </c>
      <c r="H306" s="77"/>
    </row>
    <row r="307" spans="1:8" x14ac:dyDescent="0.3">
      <c r="A307" t="s">
        <v>418</v>
      </c>
      <c r="B307" s="77" t="s">
        <v>121</v>
      </c>
      <c r="C307" s="77" t="s">
        <v>29</v>
      </c>
      <c r="D307" s="77" t="s">
        <v>316</v>
      </c>
      <c r="E307" s="77" t="s">
        <v>350</v>
      </c>
      <c r="F307" s="77" t="s">
        <v>353</v>
      </c>
      <c r="G307" s="77" t="s">
        <v>27</v>
      </c>
      <c r="H307" s="77"/>
    </row>
    <row r="308" spans="1:8" x14ac:dyDescent="0.3">
      <c r="A308" t="s">
        <v>418</v>
      </c>
      <c r="B308" s="77" t="s">
        <v>125</v>
      </c>
      <c r="C308" s="77" t="s">
        <v>29</v>
      </c>
      <c r="D308" s="77" t="s">
        <v>416</v>
      </c>
      <c r="E308" s="77" t="s">
        <v>349</v>
      </c>
      <c r="F308" s="77" t="s">
        <v>379</v>
      </c>
      <c r="G308" s="77" t="s">
        <v>27</v>
      </c>
      <c r="H308" s="77"/>
    </row>
    <row r="309" spans="1:8" x14ac:dyDescent="0.3">
      <c r="A309" t="s">
        <v>418</v>
      </c>
      <c r="B309" s="77" t="s">
        <v>129</v>
      </c>
      <c r="C309" s="77" t="s">
        <v>29</v>
      </c>
      <c r="D309" s="77" t="s">
        <v>333</v>
      </c>
      <c r="E309" s="77" t="s">
        <v>349</v>
      </c>
      <c r="F309" s="77" t="s">
        <v>374</v>
      </c>
      <c r="G309" s="77" t="s">
        <v>27</v>
      </c>
      <c r="H309" s="77"/>
    </row>
    <row r="310" spans="1:8" x14ac:dyDescent="0.3">
      <c r="A310" t="s">
        <v>418</v>
      </c>
      <c r="B310" s="77" t="s">
        <v>134</v>
      </c>
      <c r="C310" s="77" t="s">
        <v>29</v>
      </c>
      <c r="D310" s="77" t="s">
        <v>321</v>
      </c>
      <c r="E310" s="77" t="s">
        <v>370</v>
      </c>
      <c r="F310" s="77" t="s">
        <v>382</v>
      </c>
      <c r="G310" s="77" t="s">
        <v>27</v>
      </c>
      <c r="H310" s="77"/>
    </row>
    <row r="311" spans="1:8" x14ac:dyDescent="0.3">
      <c r="A311" t="s">
        <v>418</v>
      </c>
      <c r="B311" s="77" t="s">
        <v>138</v>
      </c>
      <c r="C311" s="77" t="s">
        <v>29</v>
      </c>
      <c r="D311" s="77" t="s">
        <v>331</v>
      </c>
      <c r="E311" s="77" t="s">
        <v>391</v>
      </c>
      <c r="F311" s="77" t="s">
        <v>372</v>
      </c>
      <c r="G311" s="77" t="s">
        <v>27</v>
      </c>
      <c r="H311" s="77"/>
    </row>
    <row r="312" spans="1:8" x14ac:dyDescent="0.3">
      <c r="A312" t="s">
        <v>418</v>
      </c>
      <c r="B312" s="77" t="s">
        <v>142</v>
      </c>
      <c r="C312" s="77" t="s">
        <v>29</v>
      </c>
      <c r="D312" s="77" t="s">
        <v>352</v>
      </c>
      <c r="E312" s="77" t="s">
        <v>371</v>
      </c>
      <c r="F312" s="77" t="s">
        <v>384</v>
      </c>
      <c r="G312" s="77" t="s">
        <v>27</v>
      </c>
      <c r="H312" s="77"/>
    </row>
    <row r="313" spans="1:8" x14ac:dyDescent="0.3">
      <c r="A313" t="s">
        <v>418</v>
      </c>
      <c r="B313" s="77" t="s">
        <v>147</v>
      </c>
      <c r="C313" s="77" t="s">
        <v>29</v>
      </c>
      <c r="D313" s="77" t="s">
        <v>427</v>
      </c>
      <c r="E313" s="77" t="s">
        <v>348</v>
      </c>
      <c r="F313" s="77" t="s">
        <v>381</v>
      </c>
      <c r="G313" s="77" t="s">
        <v>27</v>
      </c>
      <c r="H313" s="77"/>
    </row>
    <row r="314" spans="1:8" x14ac:dyDescent="0.3">
      <c r="A314" t="s">
        <v>418</v>
      </c>
      <c r="B314" s="77" t="s">
        <v>151</v>
      </c>
      <c r="C314" s="77" t="s">
        <v>29</v>
      </c>
      <c r="D314" s="77" t="s">
        <v>352</v>
      </c>
      <c r="E314" s="77" t="s">
        <v>349</v>
      </c>
      <c r="F314" s="77" t="s">
        <v>377</v>
      </c>
      <c r="G314" s="77" t="s">
        <v>27</v>
      </c>
      <c r="H314" s="77"/>
    </row>
    <row r="315" spans="1:8" x14ac:dyDescent="0.3">
      <c r="A315" t="s">
        <v>418</v>
      </c>
      <c r="B315" s="77" t="s">
        <v>155</v>
      </c>
      <c r="C315" s="77" t="s">
        <v>29</v>
      </c>
      <c r="D315" s="77" t="s">
        <v>409</v>
      </c>
      <c r="E315" s="77" t="s">
        <v>415</v>
      </c>
      <c r="F315" s="77" t="s">
        <v>378</v>
      </c>
      <c r="G315" s="77" t="s">
        <v>27</v>
      </c>
      <c r="H315" s="77"/>
    </row>
    <row r="316" spans="1:8" x14ac:dyDescent="0.3">
      <c r="A316" t="s">
        <v>418</v>
      </c>
      <c r="B316" s="77" t="s">
        <v>159</v>
      </c>
      <c r="C316" s="77" t="s">
        <v>29</v>
      </c>
      <c r="D316" s="77" t="s">
        <v>324</v>
      </c>
      <c r="E316" s="77" t="s">
        <v>387</v>
      </c>
      <c r="F316" s="77" t="s">
        <v>374</v>
      </c>
      <c r="G316" s="77" t="s">
        <v>27</v>
      </c>
      <c r="H316" s="77"/>
    </row>
    <row r="317" spans="1:8" x14ac:dyDescent="0.3">
      <c r="A317" t="s">
        <v>418</v>
      </c>
      <c r="B317" s="77" t="s">
        <v>163</v>
      </c>
      <c r="C317" s="77" t="s">
        <v>29</v>
      </c>
      <c r="D317" s="77" t="s">
        <v>417</v>
      </c>
      <c r="E317" s="77" t="s">
        <v>377</v>
      </c>
      <c r="F317" s="77" t="s">
        <v>379</v>
      </c>
      <c r="G317" s="77" t="s">
        <v>27</v>
      </c>
      <c r="H317" s="77"/>
    </row>
    <row r="318" spans="1:8" x14ac:dyDescent="0.3">
      <c r="A318" t="s">
        <v>418</v>
      </c>
      <c r="B318" s="77" t="s">
        <v>166</v>
      </c>
      <c r="C318" s="77" t="s">
        <v>29</v>
      </c>
      <c r="D318" s="77" t="s">
        <v>333</v>
      </c>
      <c r="E318" s="77" t="s">
        <v>378</v>
      </c>
      <c r="F318" s="77" t="s">
        <v>353</v>
      </c>
      <c r="G318" s="77" t="s">
        <v>27</v>
      </c>
      <c r="H318" s="77"/>
    </row>
    <row r="319" spans="1:8" x14ac:dyDescent="0.3">
      <c r="A319" t="s">
        <v>418</v>
      </c>
      <c r="B319" s="77" t="s">
        <v>170</v>
      </c>
      <c r="C319" s="77" t="s">
        <v>29</v>
      </c>
      <c r="D319" s="77" t="s">
        <v>365</v>
      </c>
      <c r="E319" s="77" t="s">
        <v>351</v>
      </c>
      <c r="F319" s="77" t="s">
        <v>381</v>
      </c>
      <c r="G319" s="77" t="s">
        <v>27</v>
      </c>
      <c r="H319" s="77"/>
    </row>
    <row r="320" spans="1:8" x14ac:dyDescent="0.3">
      <c r="A320" t="s">
        <v>418</v>
      </c>
      <c r="B320" s="77" t="s">
        <v>175</v>
      </c>
      <c r="C320" s="77" t="s">
        <v>29</v>
      </c>
      <c r="D320" s="77" t="s">
        <v>417</v>
      </c>
      <c r="E320" s="77" t="s">
        <v>404</v>
      </c>
      <c r="F320" s="77" t="s">
        <v>374</v>
      </c>
      <c r="G320" s="77" t="s">
        <v>27</v>
      </c>
      <c r="H320" s="77"/>
    </row>
    <row r="321" spans="1:8" x14ac:dyDescent="0.3">
      <c r="A321" t="s">
        <v>418</v>
      </c>
      <c r="B321" s="77" t="s">
        <v>179</v>
      </c>
      <c r="C321" s="77" t="s">
        <v>29</v>
      </c>
      <c r="D321" s="77" t="s">
        <v>330</v>
      </c>
      <c r="E321" s="77" t="s">
        <v>397</v>
      </c>
      <c r="F321" s="77" t="s">
        <v>120</v>
      </c>
      <c r="G321" s="77" t="s">
        <v>27</v>
      </c>
      <c r="H321" s="77"/>
    </row>
    <row r="322" spans="1:8" x14ac:dyDescent="0.3">
      <c r="A322" t="s">
        <v>428</v>
      </c>
      <c r="B322" s="77" t="s">
        <v>33</v>
      </c>
      <c r="C322" s="77" t="s">
        <v>29</v>
      </c>
      <c r="D322" s="77" t="s">
        <v>429</v>
      </c>
      <c r="E322" s="77" t="s">
        <v>430</v>
      </c>
      <c r="F322" s="77" t="s">
        <v>416</v>
      </c>
      <c r="G322" s="77" t="s">
        <v>27</v>
      </c>
      <c r="H322" s="77"/>
    </row>
    <row r="323" spans="1:8" x14ac:dyDescent="0.3">
      <c r="A323" t="s">
        <v>428</v>
      </c>
      <c r="B323" s="77" t="s">
        <v>38</v>
      </c>
      <c r="C323" s="77" t="s">
        <v>29</v>
      </c>
      <c r="D323" s="77" t="s">
        <v>431</v>
      </c>
      <c r="E323" s="77" t="s">
        <v>326</v>
      </c>
      <c r="F323" s="77" t="s">
        <v>426</v>
      </c>
      <c r="G323" s="77" t="s">
        <v>27</v>
      </c>
      <c r="H323" s="77"/>
    </row>
    <row r="324" spans="1:8" x14ac:dyDescent="0.3">
      <c r="A324" t="s">
        <v>428</v>
      </c>
      <c r="B324" s="77" t="s">
        <v>43</v>
      </c>
      <c r="C324" s="77" t="s">
        <v>29</v>
      </c>
      <c r="D324" s="77" t="s">
        <v>432</v>
      </c>
      <c r="E324" s="77" t="s">
        <v>433</v>
      </c>
      <c r="F324" s="77" t="s">
        <v>313</v>
      </c>
      <c r="G324" s="77" t="s">
        <v>27</v>
      </c>
      <c r="H324" s="77"/>
    </row>
    <row r="325" spans="1:8" x14ac:dyDescent="0.3">
      <c r="A325" t="s">
        <v>428</v>
      </c>
      <c r="B325" s="77" t="s">
        <v>47</v>
      </c>
      <c r="C325" s="77" t="s">
        <v>29</v>
      </c>
      <c r="D325" s="77" t="s">
        <v>306</v>
      </c>
      <c r="E325" s="77" t="s">
        <v>434</v>
      </c>
      <c r="F325" s="77" t="s">
        <v>409</v>
      </c>
      <c r="G325" s="77" t="s">
        <v>27</v>
      </c>
      <c r="H325" s="77"/>
    </row>
    <row r="326" spans="1:8" x14ac:dyDescent="0.3">
      <c r="A326" t="s">
        <v>428</v>
      </c>
      <c r="B326" s="77" t="s">
        <v>52</v>
      </c>
      <c r="C326" s="77" t="s">
        <v>29</v>
      </c>
      <c r="D326" s="77" t="s">
        <v>435</v>
      </c>
      <c r="E326" s="77" t="s">
        <v>329</v>
      </c>
      <c r="F326" s="77" t="s">
        <v>321</v>
      </c>
      <c r="G326" s="77" t="s">
        <v>27</v>
      </c>
      <c r="H326" s="77"/>
    </row>
    <row r="327" spans="1:8" x14ac:dyDescent="0.3">
      <c r="A327" t="s">
        <v>428</v>
      </c>
      <c r="B327" s="77" t="s">
        <v>57</v>
      </c>
      <c r="C327" s="77" t="s">
        <v>29</v>
      </c>
      <c r="D327" s="77" t="s">
        <v>436</v>
      </c>
      <c r="E327" s="77" t="s">
        <v>410</v>
      </c>
      <c r="F327" s="77" t="s">
        <v>328</v>
      </c>
      <c r="G327" s="77" t="s">
        <v>27</v>
      </c>
      <c r="H327" s="77"/>
    </row>
    <row r="328" spans="1:8" x14ac:dyDescent="0.3">
      <c r="A328" t="s">
        <v>428</v>
      </c>
      <c r="B328" s="77" t="s">
        <v>62</v>
      </c>
      <c r="C328" s="77" t="s">
        <v>29</v>
      </c>
      <c r="D328" s="77" t="s">
        <v>437</v>
      </c>
      <c r="E328" s="77" t="s">
        <v>438</v>
      </c>
      <c r="F328" s="77" t="s">
        <v>344</v>
      </c>
      <c r="G328" s="77" t="s">
        <v>27</v>
      </c>
      <c r="H328" s="77"/>
    </row>
    <row r="329" spans="1:8" x14ac:dyDescent="0.3">
      <c r="A329" t="s">
        <v>428</v>
      </c>
      <c r="B329" s="77" t="s">
        <v>66</v>
      </c>
      <c r="C329" s="77" t="s">
        <v>29</v>
      </c>
      <c r="D329" s="77" t="s">
        <v>439</v>
      </c>
      <c r="E329" s="77" t="s">
        <v>434</v>
      </c>
      <c r="F329" s="77" t="s">
        <v>331</v>
      </c>
      <c r="G329" s="77" t="s">
        <v>27</v>
      </c>
      <c r="H329" s="77"/>
    </row>
    <row r="330" spans="1:8" x14ac:dyDescent="0.3">
      <c r="A330" t="s">
        <v>428</v>
      </c>
      <c r="B330" s="77" t="s">
        <v>70</v>
      </c>
      <c r="C330" s="77" t="s">
        <v>29</v>
      </c>
      <c r="D330" s="77" t="s">
        <v>440</v>
      </c>
      <c r="E330" s="77" t="s">
        <v>441</v>
      </c>
      <c r="F330" s="77" t="s">
        <v>417</v>
      </c>
      <c r="G330" s="77" t="s">
        <v>27</v>
      </c>
      <c r="H330" s="77"/>
    </row>
    <row r="331" spans="1:8" x14ac:dyDescent="0.3">
      <c r="A331" t="s">
        <v>428</v>
      </c>
      <c r="B331" s="77" t="s">
        <v>75</v>
      </c>
      <c r="C331" s="77" t="s">
        <v>29</v>
      </c>
      <c r="D331" s="77" t="s">
        <v>442</v>
      </c>
      <c r="E331" s="77" t="s">
        <v>339</v>
      </c>
      <c r="F331" s="77" t="s">
        <v>338</v>
      </c>
      <c r="G331" s="77" t="s">
        <v>27</v>
      </c>
      <c r="H331" s="77"/>
    </row>
    <row r="332" spans="1:8" x14ac:dyDescent="0.3">
      <c r="A332" t="s">
        <v>428</v>
      </c>
      <c r="B332" s="77" t="s">
        <v>79</v>
      </c>
      <c r="C332" s="77" t="s">
        <v>29</v>
      </c>
      <c r="D332" s="77" t="s">
        <v>443</v>
      </c>
      <c r="E332" s="77" t="s">
        <v>434</v>
      </c>
      <c r="F332" s="77" t="s">
        <v>350</v>
      </c>
      <c r="G332" s="77" t="s">
        <v>27</v>
      </c>
      <c r="H332" s="77"/>
    </row>
    <row r="333" spans="1:8" x14ac:dyDescent="0.3">
      <c r="A333" t="s">
        <v>428</v>
      </c>
      <c r="B333" s="77" t="s">
        <v>83</v>
      </c>
      <c r="C333" s="77" t="s">
        <v>29</v>
      </c>
      <c r="D333" s="77" t="s">
        <v>444</v>
      </c>
      <c r="E333" s="77" t="s">
        <v>307</v>
      </c>
      <c r="F333" s="77" t="s">
        <v>408</v>
      </c>
      <c r="G333" s="77" t="s">
        <v>27</v>
      </c>
      <c r="H333" s="77"/>
    </row>
    <row r="334" spans="1:8" x14ac:dyDescent="0.3">
      <c r="A334" t="s">
        <v>428</v>
      </c>
      <c r="B334" s="77" t="s">
        <v>88</v>
      </c>
      <c r="C334" s="77" t="s">
        <v>29</v>
      </c>
      <c r="D334" s="77" t="s">
        <v>445</v>
      </c>
      <c r="E334" s="77" t="s">
        <v>421</v>
      </c>
      <c r="F334" s="77" t="s">
        <v>321</v>
      </c>
      <c r="G334" s="77" t="s">
        <v>27</v>
      </c>
      <c r="H334" s="77"/>
    </row>
    <row r="335" spans="1:8" x14ac:dyDescent="0.3">
      <c r="A335" t="s">
        <v>428</v>
      </c>
      <c r="B335" s="77" t="s">
        <v>92</v>
      </c>
      <c r="C335" s="77" t="s">
        <v>29</v>
      </c>
      <c r="D335" s="77" t="s">
        <v>446</v>
      </c>
      <c r="E335" s="77" t="s">
        <v>367</v>
      </c>
      <c r="F335" s="77" t="s">
        <v>344</v>
      </c>
      <c r="G335" s="77" t="s">
        <v>27</v>
      </c>
      <c r="H335" s="77"/>
    </row>
    <row r="336" spans="1:8" x14ac:dyDescent="0.3">
      <c r="A336" t="s">
        <v>428</v>
      </c>
      <c r="B336" s="77" t="s">
        <v>96</v>
      </c>
      <c r="C336" s="77" t="s">
        <v>29</v>
      </c>
      <c r="D336" s="77" t="s">
        <v>407</v>
      </c>
      <c r="E336" s="77" t="s">
        <v>340</v>
      </c>
      <c r="F336" s="77" t="s">
        <v>344</v>
      </c>
      <c r="G336" s="77" t="s">
        <v>27</v>
      </c>
      <c r="H336" s="77"/>
    </row>
    <row r="337" spans="1:8" x14ac:dyDescent="0.3">
      <c r="A337" t="s">
        <v>428</v>
      </c>
      <c r="B337" s="77" t="s">
        <v>100</v>
      </c>
      <c r="C337" s="77" t="s">
        <v>29</v>
      </c>
      <c r="D337" s="77" t="s">
        <v>290</v>
      </c>
      <c r="E337" s="77" t="s">
        <v>410</v>
      </c>
      <c r="F337" s="77" t="s">
        <v>415</v>
      </c>
      <c r="G337" s="77" t="s">
        <v>27</v>
      </c>
      <c r="H337" s="77"/>
    </row>
    <row r="338" spans="1:8" x14ac:dyDescent="0.3">
      <c r="A338" t="s">
        <v>428</v>
      </c>
      <c r="B338" s="77" t="s">
        <v>104</v>
      </c>
      <c r="C338" s="77" t="s">
        <v>29</v>
      </c>
      <c r="D338" s="77" t="s">
        <v>291</v>
      </c>
      <c r="E338" s="77" t="s">
        <v>340</v>
      </c>
      <c r="F338" s="77" t="s">
        <v>319</v>
      </c>
      <c r="G338" s="77" t="s">
        <v>27</v>
      </c>
      <c r="H338" s="77"/>
    </row>
    <row r="339" spans="1:8" x14ac:dyDescent="0.3">
      <c r="A339" t="s">
        <v>428</v>
      </c>
      <c r="B339" s="77" t="s">
        <v>108</v>
      </c>
      <c r="C339" s="77" t="s">
        <v>29</v>
      </c>
      <c r="D339" s="77" t="s">
        <v>447</v>
      </c>
      <c r="E339" s="77" t="s">
        <v>307</v>
      </c>
      <c r="F339" s="77" t="s">
        <v>335</v>
      </c>
      <c r="G339" s="77" t="s">
        <v>27</v>
      </c>
      <c r="H339" s="77"/>
    </row>
    <row r="340" spans="1:8" x14ac:dyDescent="0.3">
      <c r="A340" t="s">
        <v>428</v>
      </c>
      <c r="B340" s="77" t="s">
        <v>112</v>
      </c>
      <c r="C340" s="77" t="s">
        <v>29</v>
      </c>
      <c r="D340" s="77" t="s">
        <v>448</v>
      </c>
      <c r="E340" s="77" t="s">
        <v>449</v>
      </c>
      <c r="F340" s="77" t="s">
        <v>338</v>
      </c>
      <c r="G340" s="77" t="s">
        <v>27</v>
      </c>
      <c r="H340" s="77"/>
    </row>
    <row r="341" spans="1:8" x14ac:dyDescent="0.3">
      <c r="A341" t="s">
        <v>428</v>
      </c>
      <c r="B341" s="77" t="s">
        <v>116</v>
      </c>
      <c r="C341" s="77" t="s">
        <v>29</v>
      </c>
      <c r="D341" s="77" t="s">
        <v>450</v>
      </c>
      <c r="E341" s="77" t="s">
        <v>451</v>
      </c>
      <c r="F341" s="77" t="s">
        <v>315</v>
      </c>
      <c r="G341" s="77" t="s">
        <v>27</v>
      </c>
      <c r="H341" s="77"/>
    </row>
    <row r="342" spans="1:8" x14ac:dyDescent="0.3">
      <c r="A342" t="s">
        <v>428</v>
      </c>
      <c r="B342" s="77" t="s">
        <v>121</v>
      </c>
      <c r="C342" s="77" t="s">
        <v>29</v>
      </c>
      <c r="D342" s="77" t="s">
        <v>452</v>
      </c>
      <c r="E342" s="77" t="s">
        <v>360</v>
      </c>
      <c r="F342" s="77" t="s">
        <v>396</v>
      </c>
      <c r="G342" s="77" t="s">
        <v>27</v>
      </c>
      <c r="H342" s="77"/>
    </row>
    <row r="343" spans="1:8" x14ac:dyDescent="0.3">
      <c r="A343" t="s">
        <v>428</v>
      </c>
      <c r="B343" s="77" t="s">
        <v>125</v>
      </c>
      <c r="C343" s="77" t="s">
        <v>29</v>
      </c>
      <c r="D343" s="77" t="s">
        <v>453</v>
      </c>
      <c r="E343" s="77" t="s">
        <v>294</v>
      </c>
      <c r="F343" s="77" t="s">
        <v>338</v>
      </c>
      <c r="G343" s="77" t="s">
        <v>27</v>
      </c>
      <c r="H343" s="77"/>
    </row>
    <row r="344" spans="1:8" x14ac:dyDescent="0.3">
      <c r="A344" t="s">
        <v>428</v>
      </c>
      <c r="B344" s="77" t="s">
        <v>129</v>
      </c>
      <c r="C344" s="77" t="s">
        <v>29</v>
      </c>
      <c r="D344" s="77" t="s">
        <v>454</v>
      </c>
      <c r="E344" s="77" t="s">
        <v>455</v>
      </c>
      <c r="F344" s="77" t="s">
        <v>335</v>
      </c>
      <c r="G344" s="77" t="s">
        <v>27</v>
      </c>
      <c r="H344" s="77"/>
    </row>
    <row r="345" spans="1:8" x14ac:dyDescent="0.3">
      <c r="A345" t="s">
        <v>428</v>
      </c>
      <c r="B345" s="77" t="s">
        <v>134</v>
      </c>
      <c r="C345" s="77" t="s">
        <v>29</v>
      </c>
      <c r="D345" s="77" t="s">
        <v>439</v>
      </c>
      <c r="E345" s="77" t="s">
        <v>317</v>
      </c>
      <c r="F345" s="77" t="s">
        <v>336</v>
      </c>
      <c r="G345" s="77" t="s">
        <v>27</v>
      </c>
      <c r="H345" s="77"/>
    </row>
    <row r="346" spans="1:8" x14ac:dyDescent="0.3">
      <c r="A346" t="s">
        <v>428</v>
      </c>
      <c r="B346" s="77" t="s">
        <v>138</v>
      </c>
      <c r="C346" s="77" t="s">
        <v>29</v>
      </c>
      <c r="D346" s="77" t="s">
        <v>444</v>
      </c>
      <c r="E346" s="77" t="s">
        <v>410</v>
      </c>
      <c r="F346" s="77" t="s">
        <v>322</v>
      </c>
      <c r="G346" s="77" t="s">
        <v>27</v>
      </c>
      <c r="H346" s="77"/>
    </row>
    <row r="347" spans="1:8" x14ac:dyDescent="0.3">
      <c r="A347" t="s">
        <v>428</v>
      </c>
      <c r="B347" s="77" t="s">
        <v>142</v>
      </c>
      <c r="C347" s="77" t="s">
        <v>29</v>
      </c>
      <c r="D347" s="77" t="s">
        <v>456</v>
      </c>
      <c r="E347" s="77" t="s">
        <v>457</v>
      </c>
      <c r="F347" s="77" t="s">
        <v>319</v>
      </c>
      <c r="G347" s="77" t="s">
        <v>27</v>
      </c>
      <c r="H347" s="77"/>
    </row>
    <row r="348" spans="1:8" x14ac:dyDescent="0.3">
      <c r="A348" t="s">
        <v>428</v>
      </c>
      <c r="B348" s="77" t="s">
        <v>147</v>
      </c>
      <c r="C348" s="77" t="s">
        <v>29</v>
      </c>
      <c r="D348" s="77" t="s">
        <v>458</v>
      </c>
      <c r="E348" s="77" t="s">
        <v>337</v>
      </c>
      <c r="F348" s="77" t="s">
        <v>318</v>
      </c>
      <c r="G348" s="77" t="s">
        <v>27</v>
      </c>
      <c r="H348" s="77"/>
    </row>
    <row r="349" spans="1:8" x14ac:dyDescent="0.3">
      <c r="A349" t="s">
        <v>428</v>
      </c>
      <c r="B349" s="77" t="s">
        <v>151</v>
      </c>
      <c r="C349" s="77" t="s">
        <v>29</v>
      </c>
      <c r="D349" s="77" t="s">
        <v>459</v>
      </c>
      <c r="E349" s="77" t="s">
        <v>449</v>
      </c>
      <c r="F349" s="77" t="s">
        <v>342</v>
      </c>
      <c r="G349" s="77" t="s">
        <v>27</v>
      </c>
      <c r="H349" s="77"/>
    </row>
    <row r="350" spans="1:8" x14ac:dyDescent="0.3">
      <c r="A350" t="s">
        <v>428</v>
      </c>
      <c r="B350" s="77" t="s">
        <v>155</v>
      </c>
      <c r="C350" s="77" t="s">
        <v>29</v>
      </c>
      <c r="D350" s="77" t="s">
        <v>436</v>
      </c>
      <c r="E350" s="77" t="s">
        <v>317</v>
      </c>
      <c r="F350" s="77" t="s">
        <v>342</v>
      </c>
      <c r="G350" s="77" t="s">
        <v>27</v>
      </c>
      <c r="H350" s="77"/>
    </row>
    <row r="351" spans="1:8" x14ac:dyDescent="0.3">
      <c r="A351" t="s">
        <v>428</v>
      </c>
      <c r="B351" s="77" t="s">
        <v>159</v>
      </c>
      <c r="C351" s="77" t="s">
        <v>29</v>
      </c>
      <c r="D351" s="77" t="s">
        <v>460</v>
      </c>
      <c r="E351" s="77" t="s">
        <v>461</v>
      </c>
      <c r="F351" s="77" t="s">
        <v>348</v>
      </c>
      <c r="G351" s="77" t="s">
        <v>27</v>
      </c>
      <c r="H351" s="77"/>
    </row>
    <row r="352" spans="1:8" x14ac:dyDescent="0.3">
      <c r="A352" t="s">
        <v>428</v>
      </c>
      <c r="B352" s="77" t="s">
        <v>163</v>
      </c>
      <c r="C352" s="77" t="s">
        <v>29</v>
      </c>
      <c r="D352" s="77" t="s">
        <v>437</v>
      </c>
      <c r="E352" s="77" t="s">
        <v>299</v>
      </c>
      <c r="F352" s="77" t="s">
        <v>328</v>
      </c>
      <c r="G352" s="77" t="s">
        <v>27</v>
      </c>
      <c r="H352" s="77"/>
    </row>
    <row r="353" spans="1:8" x14ac:dyDescent="0.3">
      <c r="A353" t="s">
        <v>428</v>
      </c>
      <c r="B353" s="77" t="s">
        <v>166</v>
      </c>
      <c r="C353" s="77" t="s">
        <v>29</v>
      </c>
      <c r="D353" s="77" t="s">
        <v>456</v>
      </c>
      <c r="E353" s="77" t="s">
        <v>410</v>
      </c>
      <c r="F353" s="77" t="s">
        <v>408</v>
      </c>
      <c r="G353" s="77" t="s">
        <v>27</v>
      </c>
      <c r="H353" s="77"/>
    </row>
    <row r="354" spans="1:8" x14ac:dyDescent="0.3">
      <c r="A354" t="s">
        <v>428</v>
      </c>
      <c r="B354" s="77" t="s">
        <v>170</v>
      </c>
      <c r="C354" s="77" t="s">
        <v>29</v>
      </c>
      <c r="D354" s="77" t="s">
        <v>462</v>
      </c>
      <c r="E354" s="77" t="s">
        <v>332</v>
      </c>
      <c r="F354" s="77" t="s">
        <v>328</v>
      </c>
      <c r="G354" s="77" t="s">
        <v>27</v>
      </c>
      <c r="H354" s="77"/>
    </row>
    <row r="355" spans="1:8" x14ac:dyDescent="0.3">
      <c r="A355" t="s">
        <v>428</v>
      </c>
      <c r="B355" s="77" t="s">
        <v>175</v>
      </c>
      <c r="C355" s="77" t="s">
        <v>29</v>
      </c>
      <c r="D355" s="77" t="s">
        <v>463</v>
      </c>
      <c r="E355" s="77" t="s">
        <v>341</v>
      </c>
      <c r="F355" s="77" t="s">
        <v>318</v>
      </c>
      <c r="G355" s="77" t="s">
        <v>27</v>
      </c>
      <c r="H355" s="77"/>
    </row>
    <row r="356" spans="1:8" x14ac:dyDescent="0.3">
      <c r="A356" t="s">
        <v>428</v>
      </c>
      <c r="B356" s="77" t="s">
        <v>179</v>
      </c>
      <c r="C356" s="77" t="s">
        <v>29</v>
      </c>
      <c r="D356" s="77" t="s">
        <v>464</v>
      </c>
      <c r="E356" s="77" t="s">
        <v>461</v>
      </c>
      <c r="F356" s="77" t="s">
        <v>366</v>
      </c>
      <c r="G356" s="77" t="s">
        <v>27</v>
      </c>
      <c r="H356" s="77"/>
    </row>
    <row r="357" spans="1:8" x14ac:dyDescent="0.3">
      <c r="A357" t="s">
        <v>465</v>
      </c>
      <c r="B357" s="77" t="s">
        <v>33</v>
      </c>
      <c r="C357" s="77" t="s">
        <v>29</v>
      </c>
      <c r="D357" s="77" t="s">
        <v>277</v>
      </c>
      <c r="E357" s="77" t="s">
        <v>444</v>
      </c>
      <c r="F357" s="77" t="s">
        <v>396</v>
      </c>
      <c r="G357" s="77" t="s">
        <v>74</v>
      </c>
      <c r="H357" s="77"/>
    </row>
    <row r="358" spans="1:8" x14ac:dyDescent="0.3">
      <c r="A358" t="s">
        <v>465</v>
      </c>
      <c r="B358" s="77" t="s">
        <v>38</v>
      </c>
      <c r="C358" s="77" t="s">
        <v>29</v>
      </c>
      <c r="D358" s="77" t="s">
        <v>466</v>
      </c>
      <c r="E358" s="77" t="s">
        <v>467</v>
      </c>
      <c r="F358" s="77" t="s">
        <v>417</v>
      </c>
      <c r="G358" s="77" t="s">
        <v>27</v>
      </c>
      <c r="H358" s="77"/>
    </row>
    <row r="359" spans="1:8" x14ac:dyDescent="0.3">
      <c r="A359" t="s">
        <v>465</v>
      </c>
      <c r="B359" s="77" t="s">
        <v>43</v>
      </c>
      <c r="C359" s="77" t="s">
        <v>29</v>
      </c>
      <c r="D359" s="77" t="s">
        <v>468</v>
      </c>
      <c r="E359" s="77" t="s">
        <v>295</v>
      </c>
      <c r="F359" s="77" t="s">
        <v>414</v>
      </c>
      <c r="G359" s="77" t="s">
        <v>27</v>
      </c>
      <c r="H359" s="77"/>
    </row>
    <row r="360" spans="1:8" x14ac:dyDescent="0.3">
      <c r="A360" t="s">
        <v>465</v>
      </c>
      <c r="B360" s="77" t="s">
        <v>47</v>
      </c>
      <c r="C360" s="77" t="s">
        <v>29</v>
      </c>
      <c r="D360" s="77" t="s">
        <v>450</v>
      </c>
      <c r="E360" s="77" t="s">
        <v>467</v>
      </c>
      <c r="F360" s="77" t="s">
        <v>316</v>
      </c>
      <c r="G360" s="77" t="s">
        <v>74</v>
      </c>
      <c r="H360" s="77"/>
    </row>
    <row r="361" spans="1:8" x14ac:dyDescent="0.3">
      <c r="A361" t="s">
        <v>465</v>
      </c>
      <c r="B361" s="77" t="s">
        <v>52</v>
      </c>
      <c r="C361" s="77" t="s">
        <v>29</v>
      </c>
      <c r="D361" s="77" t="s">
        <v>252</v>
      </c>
      <c r="E361" s="77" t="s">
        <v>445</v>
      </c>
      <c r="F361" s="77" t="s">
        <v>333</v>
      </c>
      <c r="G361" s="77" t="s">
        <v>27</v>
      </c>
      <c r="H361" s="77"/>
    </row>
    <row r="362" spans="1:8" x14ac:dyDescent="0.3">
      <c r="A362" t="s">
        <v>465</v>
      </c>
      <c r="B362" s="77" t="s">
        <v>57</v>
      </c>
      <c r="C362" s="77" t="s">
        <v>29</v>
      </c>
      <c r="D362" s="77" t="s">
        <v>429</v>
      </c>
      <c r="E362" s="77" t="s">
        <v>461</v>
      </c>
      <c r="F362" s="77" t="s">
        <v>352</v>
      </c>
      <c r="G362" s="77" t="s">
        <v>27</v>
      </c>
      <c r="H362" s="77"/>
    </row>
    <row r="363" spans="1:8" x14ac:dyDescent="0.3">
      <c r="A363" t="s">
        <v>465</v>
      </c>
      <c r="B363" s="77" t="s">
        <v>62</v>
      </c>
      <c r="C363" s="77" t="s">
        <v>29</v>
      </c>
      <c r="D363" s="77" t="s">
        <v>453</v>
      </c>
      <c r="E363" s="77" t="s">
        <v>419</v>
      </c>
      <c r="F363" s="77" t="s">
        <v>411</v>
      </c>
      <c r="G363" s="77" t="s">
        <v>27</v>
      </c>
      <c r="H363" s="77"/>
    </row>
    <row r="364" spans="1:8" x14ac:dyDescent="0.3">
      <c r="A364" t="s">
        <v>465</v>
      </c>
      <c r="B364" s="77" t="s">
        <v>66</v>
      </c>
      <c r="C364" s="77" t="s">
        <v>29</v>
      </c>
      <c r="D364" s="77" t="s">
        <v>469</v>
      </c>
      <c r="E364" s="77" t="s">
        <v>360</v>
      </c>
      <c r="F364" s="77" t="s">
        <v>412</v>
      </c>
      <c r="G364" s="77" t="s">
        <v>27</v>
      </c>
      <c r="H364" s="77"/>
    </row>
    <row r="365" spans="1:8" x14ac:dyDescent="0.3">
      <c r="A365" t="s">
        <v>465</v>
      </c>
      <c r="B365" s="77" t="s">
        <v>70</v>
      </c>
      <c r="C365" s="77" t="s">
        <v>29</v>
      </c>
      <c r="D365" s="77" t="s">
        <v>470</v>
      </c>
      <c r="E365" s="77" t="s">
        <v>361</v>
      </c>
      <c r="F365" s="77" t="s">
        <v>338</v>
      </c>
      <c r="G365" s="77" t="s">
        <v>27</v>
      </c>
      <c r="H365" s="77"/>
    </row>
    <row r="366" spans="1:8" x14ac:dyDescent="0.3">
      <c r="A366" t="s">
        <v>465</v>
      </c>
      <c r="B366" s="77" t="s">
        <v>75</v>
      </c>
      <c r="C366" s="77" t="s">
        <v>29</v>
      </c>
      <c r="D366" s="77" t="s">
        <v>274</v>
      </c>
      <c r="E366" s="77" t="s">
        <v>471</v>
      </c>
      <c r="F366" s="77" t="s">
        <v>322</v>
      </c>
      <c r="G366" s="77" t="s">
        <v>27</v>
      </c>
      <c r="H366" s="77"/>
    </row>
    <row r="367" spans="1:8" x14ac:dyDescent="0.3">
      <c r="A367" t="s">
        <v>465</v>
      </c>
      <c r="B367" s="77" t="s">
        <v>79</v>
      </c>
      <c r="C367" s="77" t="s">
        <v>29</v>
      </c>
      <c r="D367" s="77" t="s">
        <v>472</v>
      </c>
      <c r="E367" s="77" t="s">
        <v>473</v>
      </c>
      <c r="F367" s="77" t="s">
        <v>342</v>
      </c>
      <c r="G367" s="77" t="s">
        <v>27</v>
      </c>
      <c r="H367" s="77"/>
    </row>
    <row r="368" spans="1:8" x14ac:dyDescent="0.3">
      <c r="A368" t="s">
        <v>465</v>
      </c>
      <c r="B368" s="77" t="s">
        <v>83</v>
      </c>
      <c r="C368" s="77" t="s">
        <v>29</v>
      </c>
      <c r="D368" s="77" t="s">
        <v>440</v>
      </c>
      <c r="E368" s="77" t="s">
        <v>461</v>
      </c>
      <c r="F368" s="77" t="s">
        <v>334</v>
      </c>
      <c r="G368" s="77" t="s">
        <v>27</v>
      </c>
      <c r="H368" s="77"/>
    </row>
    <row r="369" spans="1:8" x14ac:dyDescent="0.3">
      <c r="A369" t="s">
        <v>465</v>
      </c>
      <c r="B369" s="77" t="s">
        <v>88</v>
      </c>
      <c r="C369" s="77" t="s">
        <v>29</v>
      </c>
      <c r="D369" s="77" t="s">
        <v>463</v>
      </c>
      <c r="E369" s="77" t="s">
        <v>474</v>
      </c>
      <c r="F369" s="77" t="s">
        <v>351</v>
      </c>
      <c r="G369" s="77" t="s">
        <v>27</v>
      </c>
      <c r="H369" s="77"/>
    </row>
    <row r="370" spans="1:8" x14ac:dyDescent="0.3">
      <c r="A370" t="s">
        <v>465</v>
      </c>
      <c r="B370" s="77" t="s">
        <v>92</v>
      </c>
      <c r="C370" s="77" t="s">
        <v>29</v>
      </c>
      <c r="D370" s="77" t="s">
        <v>283</v>
      </c>
      <c r="E370" s="77" t="s">
        <v>474</v>
      </c>
      <c r="F370" s="77" t="s">
        <v>366</v>
      </c>
      <c r="G370" s="77" t="s">
        <v>27</v>
      </c>
      <c r="H370" s="77"/>
    </row>
    <row r="371" spans="1:8" x14ac:dyDescent="0.3">
      <c r="A371" t="s">
        <v>465</v>
      </c>
      <c r="B371" s="77" t="s">
        <v>96</v>
      </c>
      <c r="C371" s="77" t="s">
        <v>29</v>
      </c>
      <c r="D371" s="77" t="s">
        <v>475</v>
      </c>
      <c r="E371" s="77" t="s">
        <v>284</v>
      </c>
      <c r="F371" s="77" t="s">
        <v>348</v>
      </c>
      <c r="G371" s="77" t="s">
        <v>27</v>
      </c>
      <c r="H371" s="77"/>
    </row>
    <row r="372" spans="1:8" x14ac:dyDescent="0.3">
      <c r="A372" t="s">
        <v>465</v>
      </c>
      <c r="B372" s="77" t="s">
        <v>100</v>
      </c>
      <c r="C372" s="77" t="s">
        <v>29</v>
      </c>
      <c r="D372" s="77" t="s">
        <v>476</v>
      </c>
      <c r="E372" s="77" t="s">
        <v>298</v>
      </c>
      <c r="F372" s="77" t="s">
        <v>398</v>
      </c>
      <c r="G372" s="77" t="s">
        <v>27</v>
      </c>
      <c r="H372" s="77"/>
    </row>
    <row r="373" spans="1:8" x14ac:dyDescent="0.3">
      <c r="A373" t="s">
        <v>465</v>
      </c>
      <c r="B373" s="77" t="s">
        <v>104</v>
      </c>
      <c r="C373" s="77" t="s">
        <v>29</v>
      </c>
      <c r="D373" s="77" t="s">
        <v>475</v>
      </c>
      <c r="E373" s="77" t="s">
        <v>477</v>
      </c>
      <c r="F373" s="77" t="s">
        <v>338</v>
      </c>
      <c r="G373" s="77" t="s">
        <v>27</v>
      </c>
      <c r="H373" s="77"/>
    </row>
    <row r="374" spans="1:8" x14ac:dyDescent="0.3">
      <c r="A374" t="s">
        <v>465</v>
      </c>
      <c r="B374" s="77" t="s">
        <v>108</v>
      </c>
      <c r="C374" s="77" t="s">
        <v>29</v>
      </c>
      <c r="D374" s="77" t="s">
        <v>264</v>
      </c>
      <c r="E374" s="77" t="s">
        <v>326</v>
      </c>
      <c r="F374" s="77" t="s">
        <v>328</v>
      </c>
      <c r="G374" s="77" t="s">
        <v>27</v>
      </c>
      <c r="H374" s="77"/>
    </row>
    <row r="375" spans="1:8" x14ac:dyDescent="0.3">
      <c r="A375" t="s">
        <v>465</v>
      </c>
      <c r="B375" s="77" t="s">
        <v>112</v>
      </c>
      <c r="C375" s="77" t="s">
        <v>29</v>
      </c>
      <c r="D375" s="77" t="s">
        <v>464</v>
      </c>
      <c r="E375" s="77" t="s">
        <v>461</v>
      </c>
      <c r="F375" s="77" t="s">
        <v>366</v>
      </c>
      <c r="G375" s="77" t="s">
        <v>27</v>
      </c>
      <c r="H375" s="77"/>
    </row>
    <row r="376" spans="1:8" x14ac:dyDescent="0.3">
      <c r="A376" t="s">
        <v>465</v>
      </c>
      <c r="B376" s="77" t="s">
        <v>116</v>
      </c>
      <c r="C376" s="77" t="s">
        <v>29</v>
      </c>
      <c r="D376" s="77" t="s">
        <v>478</v>
      </c>
      <c r="E376" s="77" t="s">
        <v>479</v>
      </c>
      <c r="F376" s="77" t="s">
        <v>365</v>
      </c>
      <c r="G376" s="77" t="s">
        <v>74</v>
      </c>
      <c r="H376" s="77"/>
    </row>
    <row r="377" spans="1:8" x14ac:dyDescent="0.3">
      <c r="A377" t="s">
        <v>465</v>
      </c>
      <c r="B377" s="77" t="s">
        <v>121</v>
      </c>
      <c r="C377" s="77" t="s">
        <v>29</v>
      </c>
      <c r="D377" s="77" t="s">
        <v>462</v>
      </c>
      <c r="E377" s="77" t="s">
        <v>296</v>
      </c>
      <c r="F377" s="77" t="s">
        <v>342</v>
      </c>
      <c r="G377" s="77" t="s">
        <v>27</v>
      </c>
      <c r="H377" s="77"/>
    </row>
    <row r="378" spans="1:8" x14ac:dyDescent="0.3">
      <c r="A378" t="s">
        <v>465</v>
      </c>
      <c r="B378" s="77" t="s">
        <v>125</v>
      </c>
      <c r="C378" s="77" t="s">
        <v>29</v>
      </c>
      <c r="D378" s="77" t="s">
        <v>480</v>
      </c>
      <c r="E378" s="77" t="s">
        <v>479</v>
      </c>
      <c r="F378" s="77" t="s">
        <v>342</v>
      </c>
      <c r="G378" s="77" t="s">
        <v>27</v>
      </c>
      <c r="H378" s="77"/>
    </row>
    <row r="379" spans="1:8" x14ac:dyDescent="0.3">
      <c r="A379" t="s">
        <v>465</v>
      </c>
      <c r="B379" s="77" t="s">
        <v>129</v>
      </c>
      <c r="C379" s="77" t="s">
        <v>29</v>
      </c>
      <c r="D379" s="77" t="s">
        <v>464</v>
      </c>
      <c r="E379" s="77" t="s">
        <v>294</v>
      </c>
      <c r="F379" s="77" t="s">
        <v>318</v>
      </c>
      <c r="G379" s="77" t="s">
        <v>27</v>
      </c>
      <c r="H379" s="77"/>
    </row>
    <row r="380" spans="1:8" x14ac:dyDescent="0.3">
      <c r="A380" t="s">
        <v>465</v>
      </c>
      <c r="B380" s="77" t="s">
        <v>134</v>
      </c>
      <c r="C380" s="77" t="s">
        <v>29</v>
      </c>
      <c r="D380" s="77" t="s">
        <v>481</v>
      </c>
      <c r="E380" s="77" t="s">
        <v>446</v>
      </c>
      <c r="F380" s="77" t="s">
        <v>348</v>
      </c>
      <c r="G380" s="77" t="s">
        <v>27</v>
      </c>
      <c r="H380" s="77"/>
    </row>
    <row r="381" spans="1:8" x14ac:dyDescent="0.3">
      <c r="A381" t="s">
        <v>465</v>
      </c>
      <c r="B381" s="77" t="s">
        <v>138</v>
      </c>
      <c r="C381" s="77" t="s">
        <v>29</v>
      </c>
      <c r="D381" s="77" t="s">
        <v>482</v>
      </c>
      <c r="E381" s="77" t="s">
        <v>479</v>
      </c>
      <c r="F381" s="77" t="s">
        <v>398</v>
      </c>
      <c r="G381" s="77" t="s">
        <v>27</v>
      </c>
      <c r="H381" s="77"/>
    </row>
    <row r="382" spans="1:8" x14ac:dyDescent="0.3">
      <c r="A382" t="s">
        <v>465</v>
      </c>
      <c r="B382" s="77" t="s">
        <v>142</v>
      </c>
      <c r="C382" s="77" t="s">
        <v>29</v>
      </c>
      <c r="D382" s="77" t="s">
        <v>483</v>
      </c>
      <c r="E382" s="77" t="s">
        <v>446</v>
      </c>
      <c r="F382" s="77" t="s">
        <v>362</v>
      </c>
      <c r="G382" s="77" t="s">
        <v>27</v>
      </c>
      <c r="H382" s="77"/>
    </row>
    <row r="383" spans="1:8" x14ac:dyDescent="0.3">
      <c r="A383" t="s">
        <v>465</v>
      </c>
      <c r="B383" s="77" t="s">
        <v>147</v>
      </c>
      <c r="C383" s="77" t="s">
        <v>29</v>
      </c>
      <c r="D383" s="77" t="s">
        <v>359</v>
      </c>
      <c r="E383" s="77" t="s">
        <v>291</v>
      </c>
      <c r="F383" s="77" t="s">
        <v>328</v>
      </c>
      <c r="G383" s="77" t="s">
        <v>27</v>
      </c>
      <c r="H383" s="77"/>
    </row>
    <row r="384" spans="1:8" x14ac:dyDescent="0.3">
      <c r="A384" t="s">
        <v>465</v>
      </c>
      <c r="B384" s="77" t="s">
        <v>151</v>
      </c>
      <c r="C384" s="77" t="s">
        <v>29</v>
      </c>
      <c r="D384" s="77" t="s">
        <v>241</v>
      </c>
      <c r="E384" s="77" t="s">
        <v>295</v>
      </c>
      <c r="F384" s="77" t="s">
        <v>362</v>
      </c>
      <c r="G384" s="77" t="s">
        <v>27</v>
      </c>
      <c r="H384" s="77"/>
    </row>
    <row r="385" spans="1:8" x14ac:dyDescent="0.3">
      <c r="A385" t="s">
        <v>465</v>
      </c>
      <c r="B385" s="77" t="s">
        <v>155</v>
      </c>
      <c r="C385" s="77" t="s">
        <v>29</v>
      </c>
      <c r="D385" s="77" t="s">
        <v>241</v>
      </c>
      <c r="E385" s="77" t="s">
        <v>472</v>
      </c>
      <c r="F385" s="77" t="s">
        <v>324</v>
      </c>
      <c r="G385" s="77" t="s">
        <v>27</v>
      </c>
      <c r="H385" s="77"/>
    </row>
    <row r="386" spans="1:8" x14ac:dyDescent="0.3">
      <c r="A386" t="s">
        <v>465</v>
      </c>
      <c r="B386" s="77" t="s">
        <v>159</v>
      </c>
      <c r="C386" s="77" t="s">
        <v>29</v>
      </c>
      <c r="D386" s="77" t="s">
        <v>484</v>
      </c>
      <c r="E386" s="77" t="s">
        <v>485</v>
      </c>
      <c r="F386" s="77" t="s">
        <v>338</v>
      </c>
      <c r="G386" s="77" t="s">
        <v>27</v>
      </c>
      <c r="H386" s="77"/>
    </row>
    <row r="387" spans="1:8" x14ac:dyDescent="0.3">
      <c r="A387" t="s">
        <v>465</v>
      </c>
      <c r="B387" s="77" t="s">
        <v>163</v>
      </c>
      <c r="C387" s="77" t="s">
        <v>29</v>
      </c>
      <c r="D387" s="77" t="s">
        <v>486</v>
      </c>
      <c r="E387" s="77" t="s">
        <v>264</v>
      </c>
      <c r="F387" s="77" t="s">
        <v>416</v>
      </c>
      <c r="G387" s="77" t="s">
        <v>27</v>
      </c>
      <c r="H387" s="77"/>
    </row>
    <row r="388" spans="1:8" x14ac:dyDescent="0.3">
      <c r="A388" t="s">
        <v>465</v>
      </c>
      <c r="B388" s="77" t="s">
        <v>166</v>
      </c>
      <c r="C388" s="77" t="s">
        <v>29</v>
      </c>
      <c r="D388" s="77" t="s">
        <v>487</v>
      </c>
      <c r="E388" s="77" t="s">
        <v>488</v>
      </c>
      <c r="F388" s="77" t="s">
        <v>369</v>
      </c>
      <c r="G388" s="77" t="s">
        <v>27</v>
      </c>
      <c r="H388" s="77"/>
    </row>
    <row r="389" spans="1:8" x14ac:dyDescent="0.3">
      <c r="A389" t="s">
        <v>465</v>
      </c>
      <c r="B389" s="77" t="s">
        <v>170</v>
      </c>
      <c r="C389" s="77" t="s">
        <v>29</v>
      </c>
      <c r="D389" s="77" t="s">
        <v>297</v>
      </c>
      <c r="E389" s="77" t="s">
        <v>489</v>
      </c>
      <c r="F389" s="77" t="s">
        <v>333</v>
      </c>
      <c r="G389" s="77" t="s">
        <v>27</v>
      </c>
      <c r="H389" s="77"/>
    </row>
    <row r="390" spans="1:8" x14ac:dyDescent="0.3">
      <c r="A390" t="s">
        <v>465</v>
      </c>
      <c r="B390" s="77" t="s">
        <v>175</v>
      </c>
      <c r="C390" s="77" t="s">
        <v>29</v>
      </c>
      <c r="D390" s="77" t="s">
        <v>490</v>
      </c>
      <c r="E390" s="77" t="s">
        <v>306</v>
      </c>
      <c r="F390" s="77" t="s">
        <v>335</v>
      </c>
      <c r="G390" s="77" t="s">
        <v>27</v>
      </c>
      <c r="H390" s="77"/>
    </row>
    <row r="391" spans="1:8" x14ac:dyDescent="0.3">
      <c r="A391" t="s">
        <v>465</v>
      </c>
      <c r="B391" s="77" t="s">
        <v>179</v>
      </c>
      <c r="C391" s="77" t="s">
        <v>29</v>
      </c>
      <c r="D391" s="77" t="s">
        <v>241</v>
      </c>
      <c r="E391" s="77" t="s">
        <v>275</v>
      </c>
      <c r="F391" s="77" t="s">
        <v>335</v>
      </c>
      <c r="G391" s="77" t="s">
        <v>27</v>
      </c>
      <c r="H391" s="77"/>
    </row>
    <row r="392" spans="1:8" x14ac:dyDescent="0.3">
      <c r="A392" t="s">
        <v>491</v>
      </c>
      <c r="B392" s="77" t="s">
        <v>33</v>
      </c>
      <c r="C392" s="77" t="s">
        <v>29</v>
      </c>
      <c r="D392" s="77" t="s">
        <v>300</v>
      </c>
      <c r="E392" s="77" t="s">
        <v>436</v>
      </c>
      <c r="F392" s="77" t="s">
        <v>313</v>
      </c>
      <c r="G392" s="77" t="s">
        <v>27</v>
      </c>
      <c r="H392" s="77"/>
    </row>
    <row r="393" spans="1:8" x14ac:dyDescent="0.3">
      <c r="A393" t="s">
        <v>491</v>
      </c>
      <c r="B393" s="77" t="s">
        <v>38</v>
      </c>
      <c r="C393" s="77" t="s">
        <v>29</v>
      </c>
      <c r="D393" s="77" t="s">
        <v>492</v>
      </c>
      <c r="E393" s="77" t="s">
        <v>467</v>
      </c>
      <c r="F393" s="77" t="s">
        <v>330</v>
      </c>
      <c r="G393" s="77" t="s">
        <v>27</v>
      </c>
      <c r="H393" s="77"/>
    </row>
    <row r="394" spans="1:8" x14ac:dyDescent="0.3">
      <c r="A394" t="s">
        <v>491</v>
      </c>
      <c r="B394" s="77" t="s">
        <v>43</v>
      </c>
      <c r="C394" s="77" t="s">
        <v>29</v>
      </c>
      <c r="D394" s="77" t="s">
        <v>297</v>
      </c>
      <c r="E394" s="77" t="s">
        <v>479</v>
      </c>
      <c r="F394" s="77" t="s">
        <v>365</v>
      </c>
      <c r="G394" s="77" t="s">
        <v>27</v>
      </c>
      <c r="H394" s="77"/>
    </row>
    <row r="395" spans="1:8" x14ac:dyDescent="0.3">
      <c r="A395" t="s">
        <v>491</v>
      </c>
      <c r="B395" s="77" t="s">
        <v>47</v>
      </c>
      <c r="C395" s="77" t="s">
        <v>29</v>
      </c>
      <c r="D395" s="77" t="s">
        <v>493</v>
      </c>
      <c r="E395" s="77" t="s">
        <v>494</v>
      </c>
      <c r="F395" s="77" t="s">
        <v>316</v>
      </c>
      <c r="G395" s="77" t="s">
        <v>27</v>
      </c>
      <c r="H395" s="77"/>
    </row>
    <row r="396" spans="1:8" x14ac:dyDescent="0.3">
      <c r="A396" t="s">
        <v>491</v>
      </c>
      <c r="B396" s="77" t="s">
        <v>52</v>
      </c>
      <c r="C396" s="77" t="s">
        <v>29</v>
      </c>
      <c r="D396" s="77" t="s">
        <v>495</v>
      </c>
      <c r="E396" s="77" t="s">
        <v>443</v>
      </c>
      <c r="F396" s="77" t="s">
        <v>330</v>
      </c>
      <c r="G396" s="77" t="s">
        <v>27</v>
      </c>
      <c r="H396" s="77"/>
    </row>
    <row r="397" spans="1:8" x14ac:dyDescent="0.3">
      <c r="A397" t="s">
        <v>491</v>
      </c>
      <c r="B397" s="77" t="s">
        <v>57</v>
      </c>
      <c r="C397" s="77" t="s">
        <v>29</v>
      </c>
      <c r="D397" s="77" t="s">
        <v>252</v>
      </c>
      <c r="E397" s="77" t="s">
        <v>494</v>
      </c>
      <c r="F397" s="77" t="s">
        <v>414</v>
      </c>
      <c r="G397" s="77" t="s">
        <v>27</v>
      </c>
      <c r="H397" s="77"/>
    </row>
    <row r="398" spans="1:8" x14ac:dyDescent="0.3">
      <c r="A398" t="s">
        <v>491</v>
      </c>
      <c r="B398" s="77" t="s">
        <v>62</v>
      </c>
      <c r="C398" s="77" t="s">
        <v>29</v>
      </c>
      <c r="D398" s="77" t="s">
        <v>496</v>
      </c>
      <c r="E398" s="77" t="s">
        <v>494</v>
      </c>
      <c r="F398" s="77" t="s">
        <v>366</v>
      </c>
      <c r="G398" s="77" t="s">
        <v>27</v>
      </c>
      <c r="H398" s="77"/>
    </row>
    <row r="399" spans="1:8" x14ac:dyDescent="0.3">
      <c r="A399" t="s">
        <v>491</v>
      </c>
      <c r="B399" s="77" t="s">
        <v>66</v>
      </c>
      <c r="C399" s="77" t="s">
        <v>29</v>
      </c>
      <c r="D399" s="77" t="s">
        <v>483</v>
      </c>
      <c r="E399" s="77" t="s">
        <v>326</v>
      </c>
      <c r="F399" s="77" t="s">
        <v>327</v>
      </c>
      <c r="G399" s="77" t="s">
        <v>27</v>
      </c>
      <c r="H399" s="77"/>
    </row>
    <row r="400" spans="1:8" x14ac:dyDescent="0.3">
      <c r="A400" t="s">
        <v>491</v>
      </c>
      <c r="B400" s="77" t="s">
        <v>70</v>
      </c>
      <c r="C400" s="77" t="s">
        <v>29</v>
      </c>
      <c r="D400" s="77" t="s">
        <v>497</v>
      </c>
      <c r="E400" s="77" t="s">
        <v>479</v>
      </c>
      <c r="F400" s="77" t="s">
        <v>336</v>
      </c>
      <c r="G400" s="77" t="s">
        <v>27</v>
      </c>
      <c r="H400" s="77"/>
    </row>
    <row r="401" spans="1:8" x14ac:dyDescent="0.3">
      <c r="A401" t="s">
        <v>491</v>
      </c>
      <c r="B401" s="77" t="s">
        <v>75</v>
      </c>
      <c r="C401" s="77" t="s">
        <v>29</v>
      </c>
      <c r="D401" s="77" t="s">
        <v>498</v>
      </c>
      <c r="E401" s="77" t="s">
        <v>314</v>
      </c>
      <c r="F401" s="77" t="s">
        <v>338</v>
      </c>
      <c r="G401" s="77" t="s">
        <v>27</v>
      </c>
      <c r="H401" s="77"/>
    </row>
    <row r="402" spans="1:8" x14ac:dyDescent="0.3">
      <c r="A402" t="s">
        <v>491</v>
      </c>
      <c r="B402" s="77" t="s">
        <v>79</v>
      </c>
      <c r="C402" s="77" t="s">
        <v>29</v>
      </c>
      <c r="D402" s="77" t="s">
        <v>264</v>
      </c>
      <c r="E402" s="77" t="s">
        <v>467</v>
      </c>
      <c r="F402" s="77" t="s">
        <v>336</v>
      </c>
      <c r="G402" s="77" t="s">
        <v>27</v>
      </c>
      <c r="H402" s="77"/>
    </row>
    <row r="403" spans="1:8" x14ac:dyDescent="0.3">
      <c r="A403" t="s">
        <v>491</v>
      </c>
      <c r="B403" s="77" t="s">
        <v>83</v>
      </c>
      <c r="C403" s="77" t="s">
        <v>29</v>
      </c>
      <c r="D403" s="77" t="s">
        <v>288</v>
      </c>
      <c r="E403" s="77" t="s">
        <v>441</v>
      </c>
      <c r="F403" s="77" t="s">
        <v>321</v>
      </c>
      <c r="G403" s="77" t="s">
        <v>27</v>
      </c>
      <c r="H403" s="77"/>
    </row>
    <row r="404" spans="1:8" x14ac:dyDescent="0.3">
      <c r="A404" t="s">
        <v>491</v>
      </c>
      <c r="B404" s="77" t="s">
        <v>88</v>
      </c>
      <c r="C404" s="77" t="s">
        <v>29</v>
      </c>
      <c r="D404" s="77" t="s">
        <v>488</v>
      </c>
      <c r="E404" s="77" t="s">
        <v>326</v>
      </c>
      <c r="F404" s="77" t="s">
        <v>411</v>
      </c>
      <c r="G404" s="77" t="s">
        <v>27</v>
      </c>
      <c r="H404" s="77"/>
    </row>
    <row r="405" spans="1:8" x14ac:dyDescent="0.3">
      <c r="A405" t="s">
        <v>491</v>
      </c>
      <c r="B405" s="77" t="s">
        <v>92</v>
      </c>
      <c r="C405" s="77" t="s">
        <v>29</v>
      </c>
      <c r="D405" s="77" t="s">
        <v>469</v>
      </c>
      <c r="E405" s="77" t="s">
        <v>446</v>
      </c>
      <c r="F405" s="77" t="s">
        <v>328</v>
      </c>
      <c r="G405" s="77" t="s">
        <v>27</v>
      </c>
      <c r="H405" s="77"/>
    </row>
    <row r="406" spans="1:8" x14ac:dyDescent="0.3">
      <c r="A406" t="s">
        <v>491</v>
      </c>
      <c r="B406" s="77" t="s">
        <v>96</v>
      </c>
      <c r="C406" s="77" t="s">
        <v>29</v>
      </c>
      <c r="D406" s="77" t="s">
        <v>475</v>
      </c>
      <c r="E406" s="77" t="s">
        <v>329</v>
      </c>
      <c r="F406" s="77" t="s">
        <v>411</v>
      </c>
      <c r="G406" s="77" t="s">
        <v>27</v>
      </c>
      <c r="H406" s="77"/>
    </row>
    <row r="407" spans="1:8" x14ac:dyDescent="0.3">
      <c r="A407" t="s">
        <v>491</v>
      </c>
      <c r="B407" s="77" t="s">
        <v>100</v>
      </c>
      <c r="C407" s="77" t="s">
        <v>29</v>
      </c>
      <c r="D407" s="77" t="s">
        <v>498</v>
      </c>
      <c r="E407" s="77" t="s">
        <v>296</v>
      </c>
      <c r="F407" s="77" t="s">
        <v>331</v>
      </c>
      <c r="G407" s="77" t="s">
        <v>27</v>
      </c>
      <c r="H407" s="77"/>
    </row>
    <row r="408" spans="1:8" x14ac:dyDescent="0.3">
      <c r="A408" t="s">
        <v>491</v>
      </c>
      <c r="B408" s="77" t="s">
        <v>104</v>
      </c>
      <c r="C408" s="77" t="s">
        <v>29</v>
      </c>
      <c r="D408" s="77" t="s">
        <v>306</v>
      </c>
      <c r="E408" s="77" t="s">
        <v>438</v>
      </c>
      <c r="F408" s="77" t="s">
        <v>318</v>
      </c>
      <c r="G408" s="77" t="s">
        <v>27</v>
      </c>
      <c r="H408" s="77"/>
    </row>
    <row r="409" spans="1:8" x14ac:dyDescent="0.3">
      <c r="A409" t="s">
        <v>491</v>
      </c>
      <c r="B409" s="77" t="s">
        <v>108</v>
      </c>
      <c r="C409" s="77" t="s">
        <v>29</v>
      </c>
      <c r="D409" s="77" t="s">
        <v>283</v>
      </c>
      <c r="E409" s="77" t="s">
        <v>298</v>
      </c>
      <c r="F409" s="77" t="s">
        <v>335</v>
      </c>
      <c r="G409" s="77" t="s">
        <v>27</v>
      </c>
      <c r="H409" s="77"/>
    </row>
    <row r="410" spans="1:8" x14ac:dyDescent="0.3">
      <c r="A410" t="s">
        <v>491</v>
      </c>
      <c r="B410" s="77" t="s">
        <v>112</v>
      </c>
      <c r="C410" s="77" t="s">
        <v>29</v>
      </c>
      <c r="D410" s="77" t="s">
        <v>450</v>
      </c>
      <c r="E410" s="77" t="s">
        <v>499</v>
      </c>
      <c r="F410" s="77" t="s">
        <v>313</v>
      </c>
      <c r="G410" s="77" t="s">
        <v>27</v>
      </c>
      <c r="H410" s="77"/>
    </row>
    <row r="411" spans="1:8" x14ac:dyDescent="0.3">
      <c r="A411" t="s">
        <v>491</v>
      </c>
      <c r="B411" s="77" t="s">
        <v>116</v>
      </c>
      <c r="C411" s="77" t="s">
        <v>29</v>
      </c>
      <c r="D411" s="77" t="s">
        <v>232</v>
      </c>
      <c r="E411" s="77" t="s">
        <v>453</v>
      </c>
      <c r="F411" s="77" t="s">
        <v>327</v>
      </c>
      <c r="G411" s="77" t="s">
        <v>74</v>
      </c>
      <c r="H411" s="77"/>
    </row>
    <row r="412" spans="1:8" x14ac:dyDescent="0.3">
      <c r="A412" t="s">
        <v>491</v>
      </c>
      <c r="B412" s="77" t="s">
        <v>121</v>
      </c>
      <c r="C412" s="77" t="s">
        <v>29</v>
      </c>
      <c r="D412" s="77" t="s">
        <v>500</v>
      </c>
      <c r="E412" s="77" t="s">
        <v>281</v>
      </c>
      <c r="F412" s="77" t="s">
        <v>408</v>
      </c>
      <c r="G412" s="77" t="s">
        <v>27</v>
      </c>
      <c r="H412" s="77"/>
    </row>
    <row r="413" spans="1:8" x14ac:dyDescent="0.3">
      <c r="A413" t="s">
        <v>491</v>
      </c>
      <c r="B413" s="77" t="s">
        <v>125</v>
      </c>
      <c r="C413" s="77" t="s">
        <v>29</v>
      </c>
      <c r="D413" s="77" t="s">
        <v>277</v>
      </c>
      <c r="E413" s="77" t="s">
        <v>281</v>
      </c>
      <c r="F413" s="77" t="s">
        <v>417</v>
      </c>
      <c r="G413" s="77" t="s">
        <v>27</v>
      </c>
      <c r="H413" s="77"/>
    </row>
    <row r="414" spans="1:8" x14ac:dyDescent="0.3">
      <c r="A414" t="s">
        <v>491</v>
      </c>
      <c r="B414" s="77" t="s">
        <v>129</v>
      </c>
      <c r="C414" s="77" t="s">
        <v>29</v>
      </c>
      <c r="D414" s="77" t="s">
        <v>264</v>
      </c>
      <c r="E414" s="77" t="s">
        <v>501</v>
      </c>
      <c r="F414" s="77" t="s">
        <v>331</v>
      </c>
      <c r="G414" s="77" t="s">
        <v>27</v>
      </c>
      <c r="H414" s="77"/>
    </row>
    <row r="415" spans="1:8" x14ac:dyDescent="0.3">
      <c r="A415" t="s">
        <v>491</v>
      </c>
      <c r="B415" s="77" t="s">
        <v>134</v>
      </c>
      <c r="C415" s="77" t="s">
        <v>29</v>
      </c>
      <c r="D415" s="77" t="s">
        <v>493</v>
      </c>
      <c r="E415" s="77" t="s">
        <v>463</v>
      </c>
      <c r="F415" s="77" t="s">
        <v>365</v>
      </c>
      <c r="G415" s="77" t="s">
        <v>27</v>
      </c>
      <c r="H415" s="77"/>
    </row>
    <row r="416" spans="1:8" x14ac:dyDescent="0.3">
      <c r="A416" t="s">
        <v>491</v>
      </c>
      <c r="B416" s="77" t="s">
        <v>138</v>
      </c>
      <c r="C416" s="77" t="s">
        <v>29</v>
      </c>
      <c r="D416" s="77" t="s">
        <v>502</v>
      </c>
      <c r="E416" s="77" t="s">
        <v>476</v>
      </c>
      <c r="F416" s="77" t="s">
        <v>334</v>
      </c>
      <c r="G416" s="77" t="s">
        <v>27</v>
      </c>
      <c r="H416" s="77"/>
    </row>
    <row r="417" spans="1:8" x14ac:dyDescent="0.3">
      <c r="A417" t="s">
        <v>491</v>
      </c>
      <c r="B417" s="77" t="s">
        <v>142</v>
      </c>
      <c r="C417" s="77" t="s">
        <v>29</v>
      </c>
      <c r="D417" s="77" t="s">
        <v>500</v>
      </c>
      <c r="E417" s="77" t="s">
        <v>272</v>
      </c>
      <c r="F417" s="77" t="s">
        <v>413</v>
      </c>
      <c r="G417" s="77" t="s">
        <v>27</v>
      </c>
      <c r="H417" s="77"/>
    </row>
    <row r="418" spans="1:8" x14ac:dyDescent="0.3">
      <c r="A418" t="s">
        <v>491</v>
      </c>
      <c r="B418" s="77" t="s">
        <v>147</v>
      </c>
      <c r="C418" s="77" t="s">
        <v>29</v>
      </c>
      <c r="D418" s="77" t="s">
        <v>280</v>
      </c>
      <c r="E418" s="77" t="s">
        <v>503</v>
      </c>
      <c r="F418" s="77" t="s">
        <v>315</v>
      </c>
      <c r="G418" s="77" t="s">
        <v>27</v>
      </c>
      <c r="H418" s="77"/>
    </row>
    <row r="419" spans="1:8" x14ac:dyDescent="0.3">
      <c r="A419" t="s">
        <v>491</v>
      </c>
      <c r="B419" s="77" t="s">
        <v>151</v>
      </c>
      <c r="C419" s="77" t="s">
        <v>29</v>
      </c>
      <c r="D419" s="77" t="s">
        <v>504</v>
      </c>
      <c r="E419" s="77" t="s">
        <v>453</v>
      </c>
      <c r="F419" s="77" t="s">
        <v>368</v>
      </c>
      <c r="G419" s="77" t="s">
        <v>27</v>
      </c>
      <c r="H419" s="77"/>
    </row>
    <row r="420" spans="1:8" x14ac:dyDescent="0.3">
      <c r="A420" t="s">
        <v>491</v>
      </c>
      <c r="B420" s="77" t="s">
        <v>155</v>
      </c>
      <c r="C420" s="77" t="s">
        <v>29</v>
      </c>
      <c r="D420" s="77" t="s">
        <v>505</v>
      </c>
      <c r="E420" s="77" t="s">
        <v>470</v>
      </c>
      <c r="F420" s="77" t="s">
        <v>369</v>
      </c>
      <c r="G420" s="77" t="s">
        <v>27</v>
      </c>
      <c r="H420" s="77"/>
    </row>
    <row r="421" spans="1:8" x14ac:dyDescent="0.3">
      <c r="A421" t="s">
        <v>491</v>
      </c>
      <c r="B421" s="77" t="s">
        <v>159</v>
      </c>
      <c r="C421" s="77" t="s">
        <v>29</v>
      </c>
      <c r="D421" s="77" t="s">
        <v>506</v>
      </c>
      <c r="E421" s="77" t="s">
        <v>507</v>
      </c>
      <c r="F421" s="77" t="s">
        <v>315</v>
      </c>
      <c r="G421" s="77" t="s">
        <v>27</v>
      </c>
      <c r="H421" s="77"/>
    </row>
    <row r="422" spans="1:8" x14ac:dyDescent="0.3">
      <c r="A422" t="s">
        <v>491</v>
      </c>
      <c r="B422" s="77" t="s">
        <v>163</v>
      </c>
      <c r="C422" s="77" t="s">
        <v>29</v>
      </c>
      <c r="D422" s="77" t="s">
        <v>508</v>
      </c>
      <c r="E422" s="77" t="s">
        <v>260</v>
      </c>
      <c r="F422" s="77" t="s">
        <v>368</v>
      </c>
      <c r="G422" s="77" t="s">
        <v>27</v>
      </c>
      <c r="H422" s="77"/>
    </row>
    <row r="423" spans="1:8" x14ac:dyDescent="0.3">
      <c r="A423" t="s">
        <v>491</v>
      </c>
      <c r="B423" s="77" t="s">
        <v>166</v>
      </c>
      <c r="C423" s="77" t="s">
        <v>29</v>
      </c>
      <c r="D423" s="77" t="s">
        <v>509</v>
      </c>
      <c r="E423" s="77" t="s">
        <v>510</v>
      </c>
      <c r="F423" s="77" t="s">
        <v>360</v>
      </c>
      <c r="G423" s="77" t="s">
        <v>27</v>
      </c>
      <c r="H423" s="77"/>
    </row>
    <row r="424" spans="1:8" x14ac:dyDescent="0.3">
      <c r="A424" t="s">
        <v>491</v>
      </c>
      <c r="B424" s="77" t="s">
        <v>170</v>
      </c>
      <c r="C424" s="77" t="s">
        <v>29</v>
      </c>
      <c r="D424" s="77" t="s">
        <v>504</v>
      </c>
      <c r="E424" s="77" t="s">
        <v>500</v>
      </c>
      <c r="F424" s="77" t="s">
        <v>313</v>
      </c>
      <c r="G424" s="77" t="s">
        <v>27</v>
      </c>
      <c r="H424" s="77"/>
    </row>
    <row r="425" spans="1:8" x14ac:dyDescent="0.3">
      <c r="A425" t="s">
        <v>491</v>
      </c>
      <c r="B425" s="77" t="s">
        <v>175</v>
      </c>
      <c r="C425" s="77" t="s">
        <v>29</v>
      </c>
      <c r="D425" s="77" t="s">
        <v>511</v>
      </c>
      <c r="E425" s="77" t="s">
        <v>512</v>
      </c>
      <c r="F425" s="77" t="s">
        <v>362</v>
      </c>
      <c r="G425" s="77" t="s">
        <v>27</v>
      </c>
      <c r="H425" s="77"/>
    </row>
    <row r="426" spans="1:8" x14ac:dyDescent="0.3">
      <c r="A426" t="s">
        <v>491</v>
      </c>
      <c r="B426" s="77" t="s">
        <v>179</v>
      </c>
      <c r="C426" s="77" t="s">
        <v>29</v>
      </c>
      <c r="D426" s="77" t="s">
        <v>513</v>
      </c>
      <c r="E426" s="77" t="s">
        <v>450</v>
      </c>
      <c r="F426" s="77" t="s">
        <v>315</v>
      </c>
      <c r="G426" s="77" t="s">
        <v>27</v>
      </c>
      <c r="H426" s="77"/>
    </row>
    <row r="427" spans="1:8" x14ac:dyDescent="0.3">
      <c r="A427" t="s">
        <v>514</v>
      </c>
      <c r="B427" s="77" t="s">
        <v>33</v>
      </c>
      <c r="C427" s="77" t="s">
        <v>29</v>
      </c>
      <c r="D427" s="77" t="s">
        <v>515</v>
      </c>
      <c r="E427" s="77" t="s">
        <v>269</v>
      </c>
      <c r="F427" s="77" t="s">
        <v>426</v>
      </c>
      <c r="G427" s="77" t="s">
        <v>27</v>
      </c>
      <c r="H427" s="77"/>
    </row>
    <row r="428" spans="1:8" x14ac:dyDescent="0.3">
      <c r="A428" t="s">
        <v>514</v>
      </c>
      <c r="B428" s="77" t="s">
        <v>38</v>
      </c>
      <c r="C428" s="77" t="s">
        <v>29</v>
      </c>
      <c r="D428" s="77" t="s">
        <v>516</v>
      </c>
      <c r="E428" s="77" t="s">
        <v>439</v>
      </c>
      <c r="F428" s="77" t="s">
        <v>362</v>
      </c>
      <c r="G428" s="77" t="s">
        <v>74</v>
      </c>
      <c r="H428" s="77"/>
    </row>
    <row r="429" spans="1:8" x14ac:dyDescent="0.3">
      <c r="A429" t="s">
        <v>514</v>
      </c>
      <c r="B429" s="77" t="s">
        <v>43</v>
      </c>
      <c r="C429" s="77" t="s">
        <v>29</v>
      </c>
      <c r="D429" s="77" t="s">
        <v>258</v>
      </c>
      <c r="E429" s="77" t="s">
        <v>295</v>
      </c>
      <c r="F429" s="77" t="s">
        <v>517</v>
      </c>
      <c r="G429" s="77" t="s">
        <v>27</v>
      </c>
      <c r="H429" s="77"/>
    </row>
    <row r="430" spans="1:8" x14ac:dyDescent="0.3">
      <c r="A430" t="s">
        <v>514</v>
      </c>
      <c r="B430" s="77" t="s">
        <v>47</v>
      </c>
      <c r="C430" s="77" t="s">
        <v>29</v>
      </c>
      <c r="D430" s="77" t="s">
        <v>487</v>
      </c>
      <c r="E430" s="77" t="s">
        <v>306</v>
      </c>
      <c r="F430" s="77" t="s">
        <v>409</v>
      </c>
      <c r="G430" s="77" t="s">
        <v>27</v>
      </c>
      <c r="H430" s="77"/>
    </row>
    <row r="431" spans="1:8" x14ac:dyDescent="0.3">
      <c r="A431" t="s">
        <v>514</v>
      </c>
      <c r="B431" s="77" t="s">
        <v>52</v>
      </c>
      <c r="C431" s="77" t="s">
        <v>29</v>
      </c>
      <c r="D431" s="77" t="s">
        <v>246</v>
      </c>
      <c r="E431" s="77" t="s">
        <v>489</v>
      </c>
      <c r="F431" s="77" t="s">
        <v>427</v>
      </c>
      <c r="G431" s="77" t="s">
        <v>27</v>
      </c>
      <c r="H431" s="77"/>
    </row>
    <row r="432" spans="1:8" x14ac:dyDescent="0.3">
      <c r="A432" t="s">
        <v>514</v>
      </c>
      <c r="B432" s="77" t="s">
        <v>57</v>
      </c>
      <c r="C432" s="77" t="s">
        <v>29</v>
      </c>
      <c r="D432" s="77" t="s">
        <v>287</v>
      </c>
      <c r="E432" s="77" t="s">
        <v>460</v>
      </c>
      <c r="F432" s="77" t="s">
        <v>427</v>
      </c>
      <c r="G432" s="77" t="s">
        <v>27</v>
      </c>
      <c r="H432" s="77"/>
    </row>
    <row r="433" spans="1:8" x14ac:dyDescent="0.3">
      <c r="A433" t="s">
        <v>514</v>
      </c>
      <c r="B433" s="77" t="s">
        <v>62</v>
      </c>
      <c r="C433" s="77" t="s">
        <v>29</v>
      </c>
      <c r="D433" s="77" t="s">
        <v>431</v>
      </c>
      <c r="E433" s="77" t="s">
        <v>471</v>
      </c>
      <c r="F433" s="77" t="s">
        <v>338</v>
      </c>
      <c r="G433" s="77" t="s">
        <v>27</v>
      </c>
      <c r="H433" s="77"/>
    </row>
    <row r="434" spans="1:8" x14ac:dyDescent="0.3">
      <c r="A434" t="s">
        <v>514</v>
      </c>
      <c r="B434" s="77" t="s">
        <v>66</v>
      </c>
      <c r="C434" s="77" t="s">
        <v>29</v>
      </c>
      <c r="D434" s="77" t="s">
        <v>498</v>
      </c>
      <c r="E434" s="77" t="s">
        <v>314</v>
      </c>
      <c r="F434" s="77" t="s">
        <v>338</v>
      </c>
      <c r="G434" s="77" t="s">
        <v>27</v>
      </c>
      <c r="H434" s="77"/>
    </row>
    <row r="435" spans="1:8" x14ac:dyDescent="0.3">
      <c r="A435" t="s">
        <v>514</v>
      </c>
      <c r="B435" s="77" t="s">
        <v>70</v>
      </c>
      <c r="C435" s="77" t="s">
        <v>29</v>
      </c>
      <c r="D435" s="77" t="s">
        <v>518</v>
      </c>
      <c r="E435" s="77" t="s">
        <v>459</v>
      </c>
      <c r="F435" s="77" t="s">
        <v>364</v>
      </c>
      <c r="G435" s="77" t="s">
        <v>27</v>
      </c>
      <c r="H435" s="77"/>
    </row>
    <row r="436" spans="1:8" x14ac:dyDescent="0.3">
      <c r="A436" t="s">
        <v>514</v>
      </c>
      <c r="B436" s="77" t="s">
        <v>75</v>
      </c>
      <c r="C436" s="77" t="s">
        <v>29</v>
      </c>
      <c r="D436" s="77" t="s">
        <v>495</v>
      </c>
      <c r="E436" s="77" t="s">
        <v>272</v>
      </c>
      <c r="F436" s="77" t="s">
        <v>396</v>
      </c>
      <c r="G436" s="77" t="s">
        <v>27</v>
      </c>
      <c r="H436" s="77"/>
    </row>
    <row r="437" spans="1:8" x14ac:dyDescent="0.3">
      <c r="A437" t="s">
        <v>514</v>
      </c>
      <c r="B437" s="77" t="s">
        <v>79</v>
      </c>
      <c r="C437" s="77" t="s">
        <v>29</v>
      </c>
      <c r="D437" s="77" t="s">
        <v>431</v>
      </c>
      <c r="E437" s="77" t="s">
        <v>430</v>
      </c>
      <c r="F437" s="77" t="s">
        <v>396</v>
      </c>
      <c r="G437" s="77" t="s">
        <v>27</v>
      </c>
      <c r="H437" s="77"/>
    </row>
    <row r="438" spans="1:8" x14ac:dyDescent="0.3">
      <c r="A438" t="s">
        <v>514</v>
      </c>
      <c r="B438" s="77" t="s">
        <v>83</v>
      </c>
      <c r="C438" s="77" t="s">
        <v>29</v>
      </c>
      <c r="D438" s="77" t="s">
        <v>519</v>
      </c>
      <c r="E438" s="77" t="s">
        <v>494</v>
      </c>
      <c r="F438" s="77" t="s">
        <v>330</v>
      </c>
      <c r="G438" s="77" t="s">
        <v>27</v>
      </c>
      <c r="H438" s="77"/>
    </row>
    <row r="439" spans="1:8" x14ac:dyDescent="0.3">
      <c r="A439" t="s">
        <v>514</v>
      </c>
      <c r="B439" s="77" t="s">
        <v>88</v>
      </c>
      <c r="C439" s="77" t="s">
        <v>29</v>
      </c>
      <c r="D439" s="77" t="s">
        <v>241</v>
      </c>
      <c r="E439" s="77" t="s">
        <v>436</v>
      </c>
      <c r="F439" s="77" t="s">
        <v>316</v>
      </c>
      <c r="G439" s="77" t="s">
        <v>27</v>
      </c>
      <c r="H439" s="77"/>
    </row>
    <row r="440" spans="1:8" x14ac:dyDescent="0.3">
      <c r="A440" t="s">
        <v>514</v>
      </c>
      <c r="B440" s="77" t="s">
        <v>92</v>
      </c>
      <c r="C440" s="77" t="s">
        <v>29</v>
      </c>
      <c r="D440" s="77" t="s">
        <v>470</v>
      </c>
      <c r="E440" s="77" t="s">
        <v>293</v>
      </c>
      <c r="F440" s="77" t="s">
        <v>319</v>
      </c>
      <c r="G440" s="77" t="s">
        <v>27</v>
      </c>
      <c r="H440" s="77"/>
    </row>
    <row r="441" spans="1:8" x14ac:dyDescent="0.3">
      <c r="A441" t="s">
        <v>514</v>
      </c>
      <c r="B441" s="77" t="s">
        <v>96</v>
      </c>
      <c r="C441" s="77" t="s">
        <v>29</v>
      </c>
      <c r="D441" s="77" t="s">
        <v>520</v>
      </c>
      <c r="E441" s="77" t="s">
        <v>430</v>
      </c>
      <c r="F441" s="77" t="s">
        <v>315</v>
      </c>
      <c r="G441" s="77" t="s">
        <v>27</v>
      </c>
      <c r="H441" s="77"/>
    </row>
    <row r="442" spans="1:8" x14ac:dyDescent="0.3">
      <c r="A442" t="s">
        <v>514</v>
      </c>
      <c r="B442" s="77" t="s">
        <v>100</v>
      </c>
      <c r="C442" s="77" t="s">
        <v>29</v>
      </c>
      <c r="D442" s="77" t="s">
        <v>521</v>
      </c>
      <c r="E442" s="77" t="s">
        <v>441</v>
      </c>
      <c r="F442" s="77" t="s">
        <v>333</v>
      </c>
      <c r="G442" s="77" t="s">
        <v>27</v>
      </c>
      <c r="H442" s="77"/>
    </row>
    <row r="443" spans="1:8" x14ac:dyDescent="0.3">
      <c r="A443" t="s">
        <v>514</v>
      </c>
      <c r="B443" s="77" t="s">
        <v>104</v>
      </c>
      <c r="C443" s="77" t="s">
        <v>29</v>
      </c>
      <c r="D443" s="77" t="s">
        <v>520</v>
      </c>
      <c r="E443" s="77" t="s">
        <v>332</v>
      </c>
      <c r="F443" s="77" t="s">
        <v>364</v>
      </c>
      <c r="G443" s="77" t="s">
        <v>27</v>
      </c>
      <c r="H443" s="77"/>
    </row>
    <row r="444" spans="1:8" x14ac:dyDescent="0.3">
      <c r="A444" t="s">
        <v>514</v>
      </c>
      <c r="B444" s="77" t="s">
        <v>108</v>
      </c>
      <c r="C444" s="77" t="s">
        <v>29</v>
      </c>
      <c r="D444" s="77" t="s">
        <v>497</v>
      </c>
      <c r="E444" s="77" t="s">
        <v>522</v>
      </c>
      <c r="F444" s="77" t="s">
        <v>427</v>
      </c>
      <c r="G444" s="77" t="s">
        <v>27</v>
      </c>
      <c r="H444" s="77"/>
    </row>
    <row r="445" spans="1:8" x14ac:dyDescent="0.3">
      <c r="A445" t="s">
        <v>514</v>
      </c>
      <c r="B445" s="77" t="s">
        <v>112</v>
      </c>
      <c r="C445" s="77" t="s">
        <v>29</v>
      </c>
      <c r="D445" s="77" t="s">
        <v>478</v>
      </c>
      <c r="E445" s="77" t="s">
        <v>523</v>
      </c>
      <c r="F445" s="77" t="s">
        <v>427</v>
      </c>
      <c r="G445" s="77" t="s">
        <v>27</v>
      </c>
      <c r="H445" s="77"/>
    </row>
    <row r="446" spans="1:8" x14ac:dyDescent="0.3">
      <c r="A446" t="s">
        <v>514</v>
      </c>
      <c r="B446" s="77" t="s">
        <v>116</v>
      </c>
      <c r="C446" s="77" t="s">
        <v>29</v>
      </c>
      <c r="D446" s="77" t="s">
        <v>223</v>
      </c>
      <c r="E446" s="77" t="s">
        <v>483</v>
      </c>
      <c r="F446" s="77" t="s">
        <v>368</v>
      </c>
      <c r="G446" s="77" t="s">
        <v>27</v>
      </c>
      <c r="H446" s="77"/>
    </row>
    <row r="447" spans="1:8" x14ac:dyDescent="0.3">
      <c r="A447" t="s">
        <v>514</v>
      </c>
      <c r="B447" s="77" t="s">
        <v>121</v>
      </c>
      <c r="C447" s="77" t="s">
        <v>29</v>
      </c>
      <c r="D447" s="77" t="s">
        <v>524</v>
      </c>
      <c r="E447" s="77" t="s">
        <v>308</v>
      </c>
      <c r="F447" s="77" t="s">
        <v>347</v>
      </c>
      <c r="G447" s="77" t="s">
        <v>27</v>
      </c>
      <c r="H447" s="77"/>
    </row>
    <row r="448" spans="1:8" x14ac:dyDescent="0.3">
      <c r="A448" t="s">
        <v>514</v>
      </c>
      <c r="B448" s="77" t="s">
        <v>125</v>
      </c>
      <c r="C448" s="77" t="s">
        <v>29</v>
      </c>
      <c r="D448" s="77" t="s">
        <v>525</v>
      </c>
      <c r="E448" s="77" t="s">
        <v>489</v>
      </c>
      <c r="F448" s="77" t="s">
        <v>414</v>
      </c>
      <c r="G448" s="77" t="s">
        <v>74</v>
      </c>
      <c r="H448" s="77"/>
    </row>
    <row r="449" spans="1:8" x14ac:dyDescent="0.3">
      <c r="A449" t="s">
        <v>514</v>
      </c>
      <c r="B449" s="77" t="s">
        <v>129</v>
      </c>
      <c r="C449" s="77" t="s">
        <v>29</v>
      </c>
      <c r="D449" s="77" t="s">
        <v>359</v>
      </c>
      <c r="E449" s="77" t="s">
        <v>295</v>
      </c>
      <c r="F449" s="77" t="s">
        <v>366</v>
      </c>
      <c r="G449" s="77" t="s">
        <v>27</v>
      </c>
      <c r="H449" s="77"/>
    </row>
    <row r="450" spans="1:8" x14ac:dyDescent="0.3">
      <c r="A450" t="s">
        <v>514</v>
      </c>
      <c r="B450" s="77" t="s">
        <v>134</v>
      </c>
      <c r="C450" s="77" t="s">
        <v>29</v>
      </c>
      <c r="D450" s="77" t="s">
        <v>237</v>
      </c>
      <c r="E450" s="77" t="s">
        <v>306</v>
      </c>
      <c r="F450" s="77" t="s">
        <v>369</v>
      </c>
      <c r="G450" s="77" t="s">
        <v>27</v>
      </c>
      <c r="H450" s="77"/>
    </row>
    <row r="451" spans="1:8" x14ac:dyDescent="0.3">
      <c r="A451" t="s">
        <v>514</v>
      </c>
      <c r="B451" s="77" t="s">
        <v>138</v>
      </c>
      <c r="C451" s="77" t="s">
        <v>29</v>
      </c>
      <c r="D451" s="77" t="s">
        <v>238</v>
      </c>
      <c r="E451" s="77" t="s">
        <v>459</v>
      </c>
      <c r="F451" s="77" t="s">
        <v>354</v>
      </c>
      <c r="G451" s="77" t="s">
        <v>27</v>
      </c>
      <c r="H451" s="77"/>
    </row>
    <row r="452" spans="1:8" x14ac:dyDescent="0.3">
      <c r="A452" t="s">
        <v>514</v>
      </c>
      <c r="B452" s="77" t="s">
        <v>142</v>
      </c>
      <c r="C452" s="77" t="s">
        <v>29</v>
      </c>
      <c r="D452" s="77" t="s">
        <v>526</v>
      </c>
      <c r="E452" s="77" t="s">
        <v>463</v>
      </c>
      <c r="F452" s="77" t="s">
        <v>352</v>
      </c>
      <c r="G452" s="77" t="s">
        <v>27</v>
      </c>
      <c r="H452" s="77"/>
    </row>
    <row r="453" spans="1:8" x14ac:dyDescent="0.3">
      <c r="A453" t="s">
        <v>514</v>
      </c>
      <c r="B453" s="77" t="s">
        <v>147</v>
      </c>
      <c r="C453" s="77" t="s">
        <v>29</v>
      </c>
      <c r="D453" s="77" t="s">
        <v>527</v>
      </c>
      <c r="E453" s="77" t="s">
        <v>278</v>
      </c>
      <c r="F453" s="77" t="s">
        <v>413</v>
      </c>
      <c r="G453" s="77" t="s">
        <v>27</v>
      </c>
      <c r="H453" s="77"/>
    </row>
    <row r="454" spans="1:8" x14ac:dyDescent="0.3">
      <c r="A454" t="s">
        <v>514</v>
      </c>
      <c r="B454" s="77" t="s">
        <v>151</v>
      </c>
      <c r="C454" s="77" t="s">
        <v>29</v>
      </c>
      <c r="D454" s="77" t="s">
        <v>528</v>
      </c>
      <c r="E454" s="77" t="s">
        <v>529</v>
      </c>
      <c r="F454" s="77" t="s">
        <v>427</v>
      </c>
      <c r="G454" s="77" t="s">
        <v>27</v>
      </c>
      <c r="H454" s="77"/>
    </row>
    <row r="455" spans="1:8" x14ac:dyDescent="0.3">
      <c r="A455" t="s">
        <v>514</v>
      </c>
      <c r="B455" s="77" t="s">
        <v>155</v>
      </c>
      <c r="C455" s="77" t="s">
        <v>29</v>
      </c>
      <c r="D455" s="77" t="s">
        <v>530</v>
      </c>
      <c r="E455" s="77" t="s">
        <v>512</v>
      </c>
      <c r="F455" s="77" t="s">
        <v>315</v>
      </c>
      <c r="G455" s="77" t="s">
        <v>27</v>
      </c>
      <c r="H455" s="77"/>
    </row>
    <row r="456" spans="1:8" x14ac:dyDescent="0.3">
      <c r="A456" t="s">
        <v>514</v>
      </c>
      <c r="B456" s="77" t="s">
        <v>159</v>
      </c>
      <c r="C456" s="77" t="s">
        <v>29</v>
      </c>
      <c r="D456" s="77" t="s">
        <v>531</v>
      </c>
      <c r="E456" s="77" t="s">
        <v>532</v>
      </c>
      <c r="F456" s="77" t="s">
        <v>533</v>
      </c>
      <c r="G456" s="77" t="s">
        <v>27</v>
      </c>
      <c r="H456" s="77"/>
    </row>
    <row r="457" spans="1:8" x14ac:dyDescent="0.3">
      <c r="A457" t="s">
        <v>514</v>
      </c>
      <c r="B457" s="77" t="s">
        <v>163</v>
      </c>
      <c r="C457" s="77" t="s">
        <v>29</v>
      </c>
      <c r="D457" s="77" t="s">
        <v>214</v>
      </c>
      <c r="E457" s="77" t="s">
        <v>234</v>
      </c>
      <c r="F457" s="77" t="s">
        <v>473</v>
      </c>
      <c r="G457" s="77" t="s">
        <v>27</v>
      </c>
      <c r="H457" s="77"/>
    </row>
    <row r="458" spans="1:8" x14ac:dyDescent="0.3">
      <c r="A458" t="s">
        <v>514</v>
      </c>
      <c r="B458" s="77" t="s">
        <v>166</v>
      </c>
      <c r="C458" s="77" t="s">
        <v>29</v>
      </c>
      <c r="D458" s="77" t="s">
        <v>534</v>
      </c>
      <c r="E458" s="77" t="s">
        <v>535</v>
      </c>
      <c r="F458" s="77" t="s">
        <v>438</v>
      </c>
      <c r="G458" s="77" t="s">
        <v>27</v>
      </c>
      <c r="H458" s="77"/>
    </row>
    <row r="459" spans="1:8" x14ac:dyDescent="0.3">
      <c r="A459" t="s">
        <v>514</v>
      </c>
      <c r="B459" s="77" t="s">
        <v>170</v>
      </c>
      <c r="C459" s="77" t="s">
        <v>29</v>
      </c>
      <c r="D459" s="77" t="s">
        <v>536</v>
      </c>
      <c r="E459" s="77" t="s">
        <v>237</v>
      </c>
      <c r="F459" s="77" t="s">
        <v>423</v>
      </c>
      <c r="G459" s="77" t="s">
        <v>27</v>
      </c>
      <c r="H459" s="77"/>
    </row>
    <row r="460" spans="1:8" x14ac:dyDescent="0.3">
      <c r="A460" t="s">
        <v>514</v>
      </c>
      <c r="B460" s="77" t="s">
        <v>175</v>
      </c>
      <c r="C460" s="77" t="s">
        <v>29</v>
      </c>
      <c r="D460" s="77" t="s">
        <v>537</v>
      </c>
      <c r="E460" s="77" t="s">
        <v>263</v>
      </c>
      <c r="F460" s="77" t="s">
        <v>410</v>
      </c>
      <c r="G460" s="77" t="s">
        <v>27</v>
      </c>
      <c r="H460" s="77"/>
    </row>
    <row r="461" spans="1:8" x14ac:dyDescent="0.3">
      <c r="A461" t="s">
        <v>514</v>
      </c>
      <c r="B461" s="77" t="s">
        <v>179</v>
      </c>
      <c r="C461" s="77" t="s">
        <v>29</v>
      </c>
      <c r="D461" s="77" t="s">
        <v>538</v>
      </c>
      <c r="E461" s="77" t="s">
        <v>487</v>
      </c>
      <c r="F461" s="77" t="s">
        <v>340</v>
      </c>
      <c r="G461" s="77" t="s">
        <v>27</v>
      </c>
      <c r="H461" s="77"/>
    </row>
    <row r="462" spans="1:8" x14ac:dyDescent="0.3">
      <c r="A462" t="s">
        <v>539</v>
      </c>
      <c r="B462" s="77" t="s">
        <v>33</v>
      </c>
      <c r="C462" s="77" t="s">
        <v>29</v>
      </c>
      <c r="D462" s="77" t="s">
        <v>540</v>
      </c>
      <c r="E462" s="77" t="s">
        <v>520</v>
      </c>
      <c r="F462" s="77" t="s">
        <v>541</v>
      </c>
      <c r="G462" s="77" t="s">
        <v>27</v>
      </c>
      <c r="H462" s="77"/>
    </row>
    <row r="463" spans="1:8" x14ac:dyDescent="0.3">
      <c r="A463" t="s">
        <v>539</v>
      </c>
      <c r="B463" s="77" t="s">
        <v>38</v>
      </c>
      <c r="C463" s="77" t="s">
        <v>29</v>
      </c>
      <c r="D463" s="77" t="s">
        <v>504</v>
      </c>
      <c r="E463" s="77" t="s">
        <v>440</v>
      </c>
      <c r="F463" s="77" t="s">
        <v>410</v>
      </c>
      <c r="G463" s="77" t="s">
        <v>27</v>
      </c>
      <c r="H463" s="77"/>
    </row>
    <row r="464" spans="1:8" x14ac:dyDescent="0.3">
      <c r="A464" t="s">
        <v>539</v>
      </c>
      <c r="B464" s="77" t="s">
        <v>43</v>
      </c>
      <c r="C464" s="77" t="s">
        <v>29</v>
      </c>
      <c r="D464" s="77" t="s">
        <v>542</v>
      </c>
      <c r="E464" s="77" t="s">
        <v>488</v>
      </c>
      <c r="F464" s="77" t="s">
        <v>423</v>
      </c>
      <c r="G464" s="77" t="s">
        <v>27</v>
      </c>
      <c r="H464" s="77"/>
    </row>
    <row r="465" spans="1:8" x14ac:dyDescent="0.3">
      <c r="A465" t="s">
        <v>539</v>
      </c>
      <c r="B465" s="77" t="s">
        <v>47</v>
      </c>
      <c r="C465" s="77" t="s">
        <v>29</v>
      </c>
      <c r="D465" s="77" t="s">
        <v>543</v>
      </c>
      <c r="E465" s="77" t="s">
        <v>497</v>
      </c>
      <c r="F465" s="77" t="s">
        <v>434</v>
      </c>
      <c r="G465" s="77" t="s">
        <v>27</v>
      </c>
      <c r="H465" s="77"/>
    </row>
    <row r="466" spans="1:8" x14ac:dyDescent="0.3">
      <c r="A466" t="s">
        <v>539</v>
      </c>
      <c r="B466" s="77" t="s">
        <v>52</v>
      </c>
      <c r="C466" s="77" t="s">
        <v>29</v>
      </c>
      <c r="D466" s="77" t="s">
        <v>544</v>
      </c>
      <c r="E466" s="77" t="s">
        <v>495</v>
      </c>
      <c r="F466" s="77" t="s">
        <v>545</v>
      </c>
      <c r="G466" s="77" t="s">
        <v>27</v>
      </c>
      <c r="H466" s="77"/>
    </row>
    <row r="467" spans="1:8" x14ac:dyDescent="0.3">
      <c r="A467" t="s">
        <v>539</v>
      </c>
      <c r="B467" s="77" t="s">
        <v>57</v>
      </c>
      <c r="C467" s="77" t="s">
        <v>29</v>
      </c>
      <c r="D467" s="77" t="s">
        <v>546</v>
      </c>
      <c r="E467" s="77" t="s">
        <v>261</v>
      </c>
      <c r="F467" s="77" t="s">
        <v>368</v>
      </c>
      <c r="G467" s="77" t="s">
        <v>27</v>
      </c>
      <c r="H467" s="77"/>
    </row>
    <row r="468" spans="1:8" x14ac:dyDescent="0.3">
      <c r="A468" t="s">
        <v>539</v>
      </c>
      <c r="B468" s="77" t="s">
        <v>62</v>
      </c>
      <c r="C468" s="77" t="s">
        <v>29</v>
      </c>
      <c r="D468" s="77" t="s">
        <v>547</v>
      </c>
      <c r="E468" s="77" t="s">
        <v>303</v>
      </c>
      <c r="F468" s="77" t="s">
        <v>343</v>
      </c>
      <c r="G468" s="77" t="s">
        <v>27</v>
      </c>
      <c r="H468" s="77"/>
    </row>
    <row r="469" spans="1:8" x14ac:dyDescent="0.3">
      <c r="A469" t="s">
        <v>539</v>
      </c>
      <c r="B469" s="77" t="s">
        <v>66</v>
      </c>
      <c r="C469" s="77" t="s">
        <v>29</v>
      </c>
      <c r="D469" s="77" t="s">
        <v>504</v>
      </c>
      <c r="E469" s="77" t="s">
        <v>475</v>
      </c>
      <c r="F469" s="77" t="s">
        <v>545</v>
      </c>
      <c r="G469" s="77" t="s">
        <v>27</v>
      </c>
      <c r="H469" s="77"/>
    </row>
    <row r="470" spans="1:8" x14ac:dyDescent="0.3">
      <c r="A470" t="s">
        <v>539</v>
      </c>
      <c r="B470" s="77" t="s">
        <v>70</v>
      </c>
      <c r="C470" s="77" t="s">
        <v>29</v>
      </c>
      <c r="D470" s="77" t="s">
        <v>548</v>
      </c>
      <c r="E470" s="77" t="s">
        <v>303</v>
      </c>
      <c r="F470" s="77" t="s">
        <v>424</v>
      </c>
      <c r="G470" s="77" t="s">
        <v>27</v>
      </c>
      <c r="H470" s="77"/>
    </row>
    <row r="471" spans="1:8" x14ac:dyDescent="0.3">
      <c r="A471" t="s">
        <v>539</v>
      </c>
      <c r="B471" s="77" t="s">
        <v>75</v>
      </c>
      <c r="C471" s="77" t="s">
        <v>29</v>
      </c>
      <c r="D471" s="77" t="s">
        <v>549</v>
      </c>
      <c r="E471" s="77" t="s">
        <v>521</v>
      </c>
      <c r="F471" s="77" t="s">
        <v>410</v>
      </c>
      <c r="G471" s="77" t="s">
        <v>27</v>
      </c>
      <c r="H471" s="77"/>
    </row>
    <row r="472" spans="1:8" x14ac:dyDescent="0.3">
      <c r="A472" t="s">
        <v>539</v>
      </c>
      <c r="B472" s="77" t="s">
        <v>79</v>
      </c>
      <c r="C472" s="77" t="s">
        <v>29</v>
      </c>
      <c r="D472" s="77" t="s">
        <v>234</v>
      </c>
      <c r="E472" s="77" t="s">
        <v>275</v>
      </c>
      <c r="F472" s="77" t="s">
        <v>367</v>
      </c>
      <c r="G472" s="77" t="s">
        <v>27</v>
      </c>
      <c r="H472" s="77"/>
    </row>
    <row r="473" spans="1:8" x14ac:dyDescent="0.3">
      <c r="A473" t="s">
        <v>539</v>
      </c>
      <c r="B473" s="77" t="s">
        <v>83</v>
      </c>
      <c r="C473" s="77" t="s">
        <v>29</v>
      </c>
      <c r="D473" s="77" t="s">
        <v>511</v>
      </c>
      <c r="E473" s="77" t="s">
        <v>460</v>
      </c>
      <c r="F473" s="77" t="s">
        <v>307</v>
      </c>
      <c r="G473" s="77" t="s">
        <v>27</v>
      </c>
      <c r="H473" s="77"/>
    </row>
    <row r="474" spans="1:8" x14ac:dyDescent="0.3">
      <c r="A474" t="s">
        <v>539</v>
      </c>
      <c r="B474" s="77" t="s">
        <v>88</v>
      </c>
      <c r="C474" s="77" t="s">
        <v>29</v>
      </c>
      <c r="D474" s="77" t="s">
        <v>550</v>
      </c>
      <c r="E474" s="77" t="s">
        <v>293</v>
      </c>
      <c r="F474" s="77" t="s">
        <v>347</v>
      </c>
      <c r="G474" s="77" t="s">
        <v>27</v>
      </c>
      <c r="H474" s="77"/>
    </row>
    <row r="475" spans="1:8" x14ac:dyDescent="0.3">
      <c r="A475" t="s">
        <v>539</v>
      </c>
      <c r="B475" s="77" t="s">
        <v>92</v>
      </c>
      <c r="C475" s="77" t="s">
        <v>29</v>
      </c>
      <c r="D475" s="77" t="s">
        <v>551</v>
      </c>
      <c r="E475" s="77" t="s">
        <v>445</v>
      </c>
      <c r="F475" s="77" t="s">
        <v>367</v>
      </c>
      <c r="G475" s="77" t="s">
        <v>27</v>
      </c>
      <c r="H475" s="77"/>
    </row>
    <row r="476" spans="1:8" x14ac:dyDescent="0.3">
      <c r="A476" t="s">
        <v>539</v>
      </c>
      <c r="B476" s="77" t="s">
        <v>96</v>
      </c>
      <c r="C476" s="77" t="s">
        <v>29</v>
      </c>
      <c r="D476" s="77" t="s">
        <v>552</v>
      </c>
      <c r="E476" s="77" t="s">
        <v>522</v>
      </c>
      <c r="F476" s="77" t="s">
        <v>553</v>
      </c>
      <c r="G476" s="77" t="s">
        <v>27</v>
      </c>
      <c r="H476" s="77"/>
    </row>
    <row r="477" spans="1:8" x14ac:dyDescent="0.3">
      <c r="A477" t="s">
        <v>539</v>
      </c>
      <c r="B477" s="77" t="s">
        <v>100</v>
      </c>
      <c r="C477" s="77" t="s">
        <v>29</v>
      </c>
      <c r="D477" s="77" t="s">
        <v>551</v>
      </c>
      <c r="E477" s="77" t="s">
        <v>454</v>
      </c>
      <c r="F477" s="77" t="s">
        <v>517</v>
      </c>
      <c r="G477" s="77" t="s">
        <v>27</v>
      </c>
      <c r="H477" s="77"/>
    </row>
    <row r="478" spans="1:8" x14ac:dyDescent="0.3">
      <c r="A478" t="s">
        <v>539</v>
      </c>
      <c r="B478" s="77" t="s">
        <v>104</v>
      </c>
      <c r="C478" s="77" t="s">
        <v>29</v>
      </c>
      <c r="D478" s="77" t="s">
        <v>527</v>
      </c>
      <c r="E478" s="77" t="s">
        <v>488</v>
      </c>
      <c r="F478" s="77" t="s">
        <v>412</v>
      </c>
      <c r="G478" s="77" t="s">
        <v>27</v>
      </c>
      <c r="H478" s="77"/>
    </row>
    <row r="479" spans="1:8" x14ac:dyDescent="0.3">
      <c r="A479" t="s">
        <v>539</v>
      </c>
      <c r="B479" s="77" t="s">
        <v>108</v>
      </c>
      <c r="C479" s="77" t="s">
        <v>29</v>
      </c>
      <c r="D479" s="77" t="s">
        <v>554</v>
      </c>
      <c r="E479" s="77" t="s">
        <v>460</v>
      </c>
      <c r="F479" s="77" t="s">
        <v>354</v>
      </c>
      <c r="G479" s="77" t="s">
        <v>27</v>
      </c>
      <c r="H479" s="77"/>
    </row>
    <row r="480" spans="1:8" x14ac:dyDescent="0.3">
      <c r="A480" t="s">
        <v>539</v>
      </c>
      <c r="B480" s="77" t="s">
        <v>112</v>
      </c>
      <c r="C480" s="77" t="s">
        <v>29</v>
      </c>
      <c r="D480" s="77" t="s">
        <v>542</v>
      </c>
      <c r="E480" s="77" t="s">
        <v>512</v>
      </c>
      <c r="F480" s="77" t="s">
        <v>425</v>
      </c>
      <c r="G480" s="77" t="s">
        <v>27</v>
      </c>
      <c r="H480" s="77"/>
    </row>
    <row r="481" spans="1:8" x14ac:dyDescent="0.3">
      <c r="A481" t="s">
        <v>539</v>
      </c>
      <c r="B481" s="77" t="s">
        <v>116</v>
      </c>
      <c r="C481" s="77" t="s">
        <v>29</v>
      </c>
      <c r="D481" s="77" t="s">
        <v>555</v>
      </c>
      <c r="E481" s="77" t="s">
        <v>252</v>
      </c>
      <c r="F481" s="77" t="s">
        <v>421</v>
      </c>
      <c r="G481" s="77" t="s">
        <v>27</v>
      </c>
      <c r="H481" s="77"/>
    </row>
    <row r="482" spans="1:8" x14ac:dyDescent="0.3">
      <c r="A482" t="s">
        <v>539</v>
      </c>
      <c r="B482" s="77" t="s">
        <v>121</v>
      </c>
      <c r="C482" s="77" t="s">
        <v>29</v>
      </c>
      <c r="D482" s="77" t="s">
        <v>505</v>
      </c>
      <c r="E482" s="77" t="s">
        <v>453</v>
      </c>
      <c r="F482" s="77" t="s">
        <v>420</v>
      </c>
      <c r="G482" s="77" t="s">
        <v>27</v>
      </c>
      <c r="H482" s="77"/>
    </row>
    <row r="483" spans="1:8" x14ac:dyDescent="0.3">
      <c r="A483" t="s">
        <v>539</v>
      </c>
      <c r="B483" s="77" t="s">
        <v>125</v>
      </c>
      <c r="C483" s="77" t="s">
        <v>29</v>
      </c>
      <c r="D483" s="77" t="s">
        <v>556</v>
      </c>
      <c r="E483" s="77" t="s">
        <v>495</v>
      </c>
      <c r="F483" s="77" t="s">
        <v>533</v>
      </c>
      <c r="G483" s="77" t="s">
        <v>74</v>
      </c>
      <c r="H483" s="77"/>
    </row>
    <row r="484" spans="1:8" x14ac:dyDescent="0.3">
      <c r="A484" t="s">
        <v>539</v>
      </c>
      <c r="B484" s="77" t="s">
        <v>129</v>
      </c>
      <c r="C484" s="77" t="s">
        <v>29</v>
      </c>
      <c r="D484" s="77" t="s">
        <v>557</v>
      </c>
      <c r="E484" s="77" t="s">
        <v>308</v>
      </c>
      <c r="F484" s="77" t="s">
        <v>545</v>
      </c>
      <c r="G484" s="77" t="s">
        <v>27</v>
      </c>
      <c r="H484" s="77"/>
    </row>
    <row r="485" spans="1:8" x14ac:dyDescent="0.3">
      <c r="A485" t="s">
        <v>539</v>
      </c>
      <c r="B485" s="77" t="s">
        <v>134</v>
      </c>
      <c r="C485" s="77" t="s">
        <v>29</v>
      </c>
      <c r="D485" s="77" t="s">
        <v>558</v>
      </c>
      <c r="E485" s="77" t="s">
        <v>559</v>
      </c>
      <c r="F485" s="77" t="s">
        <v>541</v>
      </c>
      <c r="G485" s="77" t="s">
        <v>27</v>
      </c>
      <c r="H485" s="77"/>
    </row>
    <row r="486" spans="1:8" x14ac:dyDescent="0.3">
      <c r="A486" t="s">
        <v>539</v>
      </c>
      <c r="B486" s="77" t="s">
        <v>138</v>
      </c>
      <c r="C486" s="77" t="s">
        <v>29</v>
      </c>
      <c r="D486" s="77" t="s">
        <v>254</v>
      </c>
      <c r="E486" s="77" t="s">
        <v>452</v>
      </c>
      <c r="F486" s="77" t="s">
        <v>541</v>
      </c>
      <c r="G486" s="77" t="s">
        <v>27</v>
      </c>
      <c r="H486" s="77"/>
    </row>
    <row r="487" spans="1:8" x14ac:dyDescent="0.3">
      <c r="A487" t="s">
        <v>539</v>
      </c>
      <c r="B487" s="77" t="s">
        <v>142</v>
      </c>
      <c r="C487" s="77" t="s">
        <v>29</v>
      </c>
      <c r="D487" s="77" t="s">
        <v>504</v>
      </c>
      <c r="E487" s="77" t="s">
        <v>560</v>
      </c>
      <c r="F487" s="77" t="s">
        <v>346</v>
      </c>
      <c r="G487" s="77" t="s">
        <v>27</v>
      </c>
      <c r="H487" s="77"/>
    </row>
    <row r="488" spans="1:8" x14ac:dyDescent="0.3">
      <c r="A488" t="s">
        <v>539</v>
      </c>
      <c r="B488" s="77" t="s">
        <v>147</v>
      </c>
      <c r="C488" s="77" t="s">
        <v>29</v>
      </c>
      <c r="D488" s="77" t="s">
        <v>561</v>
      </c>
      <c r="E488" s="77" t="s">
        <v>562</v>
      </c>
      <c r="F488" s="77" t="s">
        <v>455</v>
      </c>
      <c r="G488" s="77" t="s">
        <v>27</v>
      </c>
      <c r="H488" s="77"/>
    </row>
    <row r="489" spans="1:8" x14ac:dyDescent="0.3">
      <c r="A489" t="s">
        <v>539</v>
      </c>
      <c r="B489" s="77" t="s">
        <v>151</v>
      </c>
      <c r="C489" s="77" t="s">
        <v>29</v>
      </c>
      <c r="D489" s="77" t="s">
        <v>270</v>
      </c>
      <c r="E489" s="77" t="s">
        <v>562</v>
      </c>
      <c r="F489" s="77" t="s">
        <v>422</v>
      </c>
      <c r="G489" s="77" t="s">
        <v>27</v>
      </c>
      <c r="H489" s="77"/>
    </row>
    <row r="490" spans="1:8" x14ac:dyDescent="0.3">
      <c r="A490" t="s">
        <v>539</v>
      </c>
      <c r="B490" s="77" t="s">
        <v>155</v>
      </c>
      <c r="C490" s="77" t="s">
        <v>29</v>
      </c>
      <c r="D490" s="77" t="s">
        <v>506</v>
      </c>
      <c r="E490" s="77" t="s">
        <v>495</v>
      </c>
      <c r="F490" s="77" t="s">
        <v>455</v>
      </c>
      <c r="G490" s="77" t="s">
        <v>27</v>
      </c>
      <c r="H490" s="77"/>
    </row>
    <row r="491" spans="1:8" x14ac:dyDescent="0.3">
      <c r="A491" t="s">
        <v>539</v>
      </c>
      <c r="B491" s="77" t="s">
        <v>159</v>
      </c>
      <c r="C491" s="77" t="s">
        <v>29</v>
      </c>
      <c r="D491" s="77" t="s">
        <v>563</v>
      </c>
      <c r="E491" s="77" t="s">
        <v>257</v>
      </c>
      <c r="F491" s="77" t="s">
        <v>564</v>
      </c>
      <c r="G491" s="77" t="s">
        <v>27</v>
      </c>
      <c r="H491" s="77"/>
    </row>
    <row r="492" spans="1:8" x14ac:dyDescent="0.3">
      <c r="A492" t="s">
        <v>539</v>
      </c>
      <c r="B492" s="77" t="s">
        <v>163</v>
      </c>
      <c r="C492" s="77" t="s">
        <v>29</v>
      </c>
      <c r="D492" s="77" t="s">
        <v>259</v>
      </c>
      <c r="E492" s="77" t="s">
        <v>217</v>
      </c>
      <c r="F492" s="77" t="s">
        <v>311</v>
      </c>
      <c r="G492" s="77" t="s">
        <v>27</v>
      </c>
      <c r="H492" s="77"/>
    </row>
    <row r="493" spans="1:8" x14ac:dyDescent="0.3">
      <c r="A493" t="s">
        <v>539</v>
      </c>
      <c r="B493" s="77" t="s">
        <v>166</v>
      </c>
      <c r="C493" s="77" t="s">
        <v>29</v>
      </c>
      <c r="D493" s="77" t="s">
        <v>565</v>
      </c>
      <c r="E493" s="77" t="s">
        <v>566</v>
      </c>
      <c r="F493" s="77" t="s">
        <v>567</v>
      </c>
      <c r="G493" s="77" t="s">
        <v>27</v>
      </c>
      <c r="H493" s="77"/>
    </row>
    <row r="494" spans="1:8" x14ac:dyDescent="0.3">
      <c r="A494" t="s">
        <v>539</v>
      </c>
      <c r="B494" s="77" t="s">
        <v>170</v>
      </c>
      <c r="C494" s="77" t="s">
        <v>29</v>
      </c>
      <c r="D494" s="77" t="s">
        <v>568</v>
      </c>
      <c r="E494" s="77" t="s">
        <v>527</v>
      </c>
      <c r="F494" s="77" t="s">
        <v>294</v>
      </c>
      <c r="G494" s="77" t="s">
        <v>74</v>
      </c>
      <c r="H494" s="77"/>
    </row>
    <row r="495" spans="1:8" x14ac:dyDescent="0.3">
      <c r="A495" t="s">
        <v>539</v>
      </c>
      <c r="B495" s="77" t="s">
        <v>175</v>
      </c>
      <c r="C495" s="77" t="s">
        <v>29</v>
      </c>
      <c r="D495" s="77" t="s">
        <v>537</v>
      </c>
      <c r="E495" s="77" t="s">
        <v>551</v>
      </c>
      <c r="F495" s="77" t="s">
        <v>320</v>
      </c>
      <c r="G495" s="77" t="s">
        <v>27</v>
      </c>
      <c r="H495" s="77"/>
    </row>
    <row r="496" spans="1:8" x14ac:dyDescent="0.3">
      <c r="A496" t="s">
        <v>539</v>
      </c>
      <c r="B496" s="77" t="s">
        <v>179</v>
      </c>
      <c r="C496" s="77" t="s">
        <v>29</v>
      </c>
      <c r="D496" s="77" t="s">
        <v>279</v>
      </c>
      <c r="E496" s="77" t="s">
        <v>234</v>
      </c>
      <c r="F496" s="77" t="s">
        <v>332</v>
      </c>
      <c r="G496" s="77" t="s">
        <v>27</v>
      </c>
      <c r="H496" s="77"/>
    </row>
    <row r="497" spans="1:8" x14ac:dyDescent="0.3">
      <c r="A497" t="s">
        <v>569</v>
      </c>
      <c r="B497" s="77" t="s">
        <v>33</v>
      </c>
      <c r="C497" s="77" t="s">
        <v>29</v>
      </c>
      <c r="D497" s="77" t="s">
        <v>257</v>
      </c>
      <c r="E497" s="77" t="s">
        <v>512</v>
      </c>
      <c r="F497" s="77" t="s">
        <v>357</v>
      </c>
      <c r="G497" s="77" t="s">
        <v>27</v>
      </c>
      <c r="H497" s="77"/>
    </row>
    <row r="498" spans="1:8" x14ac:dyDescent="0.3">
      <c r="A498" t="s">
        <v>569</v>
      </c>
      <c r="B498" s="77" t="s">
        <v>38</v>
      </c>
      <c r="C498" s="77" t="s">
        <v>29</v>
      </c>
      <c r="D498" s="77" t="s">
        <v>570</v>
      </c>
      <c r="E498" s="77" t="s">
        <v>488</v>
      </c>
      <c r="F498" s="77" t="s">
        <v>421</v>
      </c>
      <c r="G498" s="77" t="s">
        <v>27</v>
      </c>
      <c r="H498" s="77"/>
    </row>
    <row r="499" spans="1:8" x14ac:dyDescent="0.3">
      <c r="A499" t="s">
        <v>569</v>
      </c>
      <c r="B499" s="77" t="s">
        <v>43</v>
      </c>
      <c r="C499" s="77" t="s">
        <v>29</v>
      </c>
      <c r="D499" s="77" t="s">
        <v>544</v>
      </c>
      <c r="E499" s="77" t="s">
        <v>303</v>
      </c>
      <c r="F499" s="77" t="s">
        <v>474</v>
      </c>
      <c r="G499" s="77" t="s">
        <v>27</v>
      </c>
      <c r="H499" s="77"/>
    </row>
    <row r="500" spans="1:8" x14ac:dyDescent="0.3">
      <c r="A500" t="s">
        <v>569</v>
      </c>
      <c r="B500" s="77" t="s">
        <v>47</v>
      </c>
      <c r="C500" s="77" t="s">
        <v>29</v>
      </c>
      <c r="D500" s="77" t="s">
        <v>571</v>
      </c>
      <c r="E500" s="77" t="s">
        <v>261</v>
      </c>
      <c r="F500" s="77" t="s">
        <v>339</v>
      </c>
      <c r="G500" s="77" t="s">
        <v>27</v>
      </c>
      <c r="H500" s="77"/>
    </row>
    <row r="501" spans="1:8" x14ac:dyDescent="0.3">
      <c r="A501" t="s">
        <v>569</v>
      </c>
      <c r="B501" s="77" t="s">
        <v>52</v>
      </c>
      <c r="C501" s="77" t="s">
        <v>29</v>
      </c>
      <c r="D501" s="77" t="s">
        <v>572</v>
      </c>
      <c r="E501" s="77" t="s">
        <v>483</v>
      </c>
      <c r="F501" s="77" t="s">
        <v>421</v>
      </c>
      <c r="G501" s="77" t="s">
        <v>27</v>
      </c>
      <c r="H501" s="77"/>
    </row>
    <row r="502" spans="1:8" x14ac:dyDescent="0.3">
      <c r="A502" t="s">
        <v>569</v>
      </c>
      <c r="B502" s="77" t="s">
        <v>57</v>
      </c>
      <c r="C502" s="77" t="s">
        <v>29</v>
      </c>
      <c r="D502" s="77" t="s">
        <v>231</v>
      </c>
      <c r="E502" s="77" t="s">
        <v>468</v>
      </c>
      <c r="F502" s="77" t="s">
        <v>474</v>
      </c>
      <c r="G502" s="77" t="s">
        <v>27</v>
      </c>
      <c r="H502" s="77"/>
    </row>
    <row r="503" spans="1:8" x14ac:dyDescent="0.3">
      <c r="A503" t="s">
        <v>569</v>
      </c>
      <c r="B503" s="77" t="s">
        <v>62</v>
      </c>
      <c r="C503" s="77" t="s">
        <v>29</v>
      </c>
      <c r="D503" s="77" t="s">
        <v>248</v>
      </c>
      <c r="E503" s="77" t="s">
        <v>482</v>
      </c>
      <c r="F503" s="77" t="s">
        <v>455</v>
      </c>
      <c r="G503" s="77" t="s">
        <v>27</v>
      </c>
      <c r="H503" s="77"/>
    </row>
    <row r="504" spans="1:8" x14ac:dyDescent="0.3">
      <c r="A504" t="s">
        <v>569</v>
      </c>
      <c r="B504" s="77" t="s">
        <v>66</v>
      </c>
      <c r="C504" s="77" t="s">
        <v>29</v>
      </c>
      <c r="D504" s="77" t="s">
        <v>573</v>
      </c>
      <c r="E504" s="77" t="s">
        <v>493</v>
      </c>
      <c r="F504" s="77" t="s">
        <v>574</v>
      </c>
      <c r="G504" s="77" t="s">
        <v>27</v>
      </c>
      <c r="H504" s="77"/>
    </row>
    <row r="505" spans="1:8" x14ac:dyDescent="0.3">
      <c r="A505" t="s">
        <v>569</v>
      </c>
      <c r="B505" s="77" t="s">
        <v>70</v>
      </c>
      <c r="C505" s="77" t="s">
        <v>29</v>
      </c>
      <c r="D505" s="77" t="s">
        <v>575</v>
      </c>
      <c r="E505" s="77" t="s">
        <v>478</v>
      </c>
      <c r="F505" s="77" t="s">
        <v>477</v>
      </c>
      <c r="G505" s="77" t="s">
        <v>27</v>
      </c>
      <c r="H505" s="77"/>
    </row>
    <row r="506" spans="1:8" x14ac:dyDescent="0.3">
      <c r="A506" t="s">
        <v>569</v>
      </c>
      <c r="B506" s="77" t="s">
        <v>75</v>
      </c>
      <c r="C506" s="77" t="s">
        <v>29</v>
      </c>
      <c r="D506" s="77" t="s">
        <v>576</v>
      </c>
      <c r="E506" s="77" t="s">
        <v>490</v>
      </c>
      <c r="F506" s="77" t="s">
        <v>395</v>
      </c>
      <c r="G506" s="77" t="s">
        <v>27</v>
      </c>
      <c r="H506" s="77"/>
    </row>
    <row r="507" spans="1:8" x14ac:dyDescent="0.3">
      <c r="A507" t="s">
        <v>569</v>
      </c>
      <c r="B507" s="77" t="s">
        <v>79</v>
      </c>
      <c r="C507" s="77" t="s">
        <v>29</v>
      </c>
      <c r="D507" s="77" t="s">
        <v>547</v>
      </c>
      <c r="E507" s="77" t="s">
        <v>567</v>
      </c>
      <c r="F507" s="77" t="s">
        <v>457</v>
      </c>
      <c r="G507" s="77" t="s">
        <v>27</v>
      </c>
      <c r="H507" s="77"/>
    </row>
    <row r="508" spans="1:8" x14ac:dyDescent="0.3">
      <c r="A508" t="s">
        <v>569</v>
      </c>
      <c r="B508" s="77" t="s">
        <v>83</v>
      </c>
      <c r="C508" s="77" t="s">
        <v>29</v>
      </c>
      <c r="D508" s="77" t="s">
        <v>231</v>
      </c>
      <c r="E508" s="77" t="s">
        <v>502</v>
      </c>
      <c r="F508" s="77" t="s">
        <v>298</v>
      </c>
      <c r="G508" s="77" t="s">
        <v>74</v>
      </c>
      <c r="H508" s="77"/>
    </row>
    <row r="509" spans="1:8" x14ac:dyDescent="0.3">
      <c r="A509" t="s">
        <v>569</v>
      </c>
      <c r="B509" s="77" t="s">
        <v>88</v>
      </c>
      <c r="C509" s="77" t="s">
        <v>29</v>
      </c>
      <c r="D509" s="77" t="s">
        <v>543</v>
      </c>
      <c r="E509" s="77" t="s">
        <v>500</v>
      </c>
      <c r="F509" s="77" t="s">
        <v>395</v>
      </c>
      <c r="G509" s="77" t="s">
        <v>27</v>
      </c>
      <c r="H509" s="77"/>
    </row>
    <row r="510" spans="1:8" x14ac:dyDescent="0.3">
      <c r="A510" t="s">
        <v>569</v>
      </c>
      <c r="B510" s="77" t="s">
        <v>92</v>
      </c>
      <c r="C510" s="77" t="s">
        <v>29</v>
      </c>
      <c r="D510" s="77" t="s">
        <v>506</v>
      </c>
      <c r="E510" s="77" t="s">
        <v>450</v>
      </c>
      <c r="F510" s="77" t="s">
        <v>323</v>
      </c>
      <c r="G510" s="77" t="s">
        <v>27</v>
      </c>
      <c r="H510" s="77"/>
    </row>
    <row r="511" spans="1:8" x14ac:dyDescent="0.3">
      <c r="A511" t="s">
        <v>569</v>
      </c>
      <c r="B511" s="77" t="s">
        <v>96</v>
      </c>
      <c r="C511" s="77" t="s">
        <v>29</v>
      </c>
      <c r="D511" s="77" t="s">
        <v>577</v>
      </c>
      <c r="E511" s="77" t="s">
        <v>359</v>
      </c>
      <c r="F511" s="77" t="s">
        <v>302</v>
      </c>
      <c r="G511" s="77" t="s">
        <v>27</v>
      </c>
      <c r="H511" s="77"/>
    </row>
    <row r="512" spans="1:8" x14ac:dyDescent="0.3">
      <c r="A512" t="s">
        <v>569</v>
      </c>
      <c r="B512" s="77" t="s">
        <v>100</v>
      </c>
      <c r="C512" s="77" t="s">
        <v>29</v>
      </c>
      <c r="D512" s="77" t="s">
        <v>506</v>
      </c>
      <c r="E512" s="77" t="s">
        <v>512</v>
      </c>
      <c r="F512" s="77" t="s">
        <v>433</v>
      </c>
      <c r="G512" s="77" t="s">
        <v>27</v>
      </c>
      <c r="H512" s="77"/>
    </row>
    <row r="513" spans="1:8" x14ac:dyDescent="0.3">
      <c r="A513" t="s">
        <v>569</v>
      </c>
      <c r="B513" s="77" t="s">
        <v>104</v>
      </c>
      <c r="C513" s="77" t="s">
        <v>29</v>
      </c>
      <c r="D513" s="77" t="s">
        <v>578</v>
      </c>
      <c r="E513" s="77" t="s">
        <v>579</v>
      </c>
      <c r="F513" s="77" t="s">
        <v>477</v>
      </c>
      <c r="G513" s="77" t="s">
        <v>27</v>
      </c>
      <c r="H513" s="77"/>
    </row>
    <row r="514" spans="1:8" x14ac:dyDescent="0.3">
      <c r="A514" t="s">
        <v>569</v>
      </c>
      <c r="B514" s="77" t="s">
        <v>108</v>
      </c>
      <c r="C514" s="77" t="s">
        <v>29</v>
      </c>
      <c r="D514" s="77" t="s">
        <v>580</v>
      </c>
      <c r="E514" s="77" t="s">
        <v>452</v>
      </c>
      <c r="F514" s="77" t="s">
        <v>499</v>
      </c>
      <c r="G514" s="77" t="s">
        <v>27</v>
      </c>
      <c r="H514" s="77"/>
    </row>
    <row r="515" spans="1:8" x14ac:dyDescent="0.3">
      <c r="A515" t="s">
        <v>569</v>
      </c>
      <c r="B515" s="77" t="s">
        <v>112</v>
      </c>
      <c r="C515" s="77" t="s">
        <v>29</v>
      </c>
      <c r="D515" s="77" t="s">
        <v>581</v>
      </c>
      <c r="E515" s="77" t="s">
        <v>500</v>
      </c>
      <c r="F515" s="77" t="s">
        <v>290</v>
      </c>
      <c r="G515" s="77" t="s">
        <v>27</v>
      </c>
      <c r="H515" s="77"/>
    </row>
    <row r="516" spans="1:8" x14ac:dyDescent="0.3">
      <c r="A516" t="s">
        <v>569</v>
      </c>
      <c r="B516" s="77" t="s">
        <v>116</v>
      </c>
      <c r="C516" s="77" t="s">
        <v>29</v>
      </c>
      <c r="D516" s="77" t="s">
        <v>582</v>
      </c>
      <c r="E516" s="77" t="s">
        <v>542</v>
      </c>
      <c r="F516" s="77" t="s">
        <v>443</v>
      </c>
      <c r="G516" s="77" t="s">
        <v>27</v>
      </c>
      <c r="H516" s="77"/>
    </row>
    <row r="517" spans="1:8" x14ac:dyDescent="0.3">
      <c r="A517" t="s">
        <v>569</v>
      </c>
      <c r="B517" s="77" t="s">
        <v>121</v>
      </c>
      <c r="C517" s="77" t="s">
        <v>29</v>
      </c>
      <c r="D517" s="77" t="s">
        <v>225</v>
      </c>
      <c r="E517" s="77" t="s">
        <v>532</v>
      </c>
      <c r="F517" s="77" t="s">
        <v>360</v>
      </c>
      <c r="G517" s="77" t="s">
        <v>27</v>
      </c>
      <c r="H517" s="77"/>
    </row>
    <row r="518" spans="1:8" x14ac:dyDescent="0.3">
      <c r="A518" t="s">
        <v>569</v>
      </c>
      <c r="B518" s="77" t="s">
        <v>125</v>
      </c>
      <c r="C518" s="77" t="s">
        <v>29</v>
      </c>
      <c r="D518" s="77" t="s">
        <v>537</v>
      </c>
      <c r="E518" s="77" t="s">
        <v>532</v>
      </c>
      <c r="F518" s="77" t="s">
        <v>501</v>
      </c>
      <c r="G518" s="77" t="s">
        <v>27</v>
      </c>
      <c r="H518" s="77"/>
    </row>
    <row r="519" spans="1:8" x14ac:dyDescent="0.3">
      <c r="A519" t="s">
        <v>569</v>
      </c>
      <c r="B519" s="77" t="s">
        <v>129</v>
      </c>
      <c r="C519" s="77" t="s">
        <v>29</v>
      </c>
      <c r="D519" s="77" t="s">
        <v>577</v>
      </c>
      <c r="E519" s="77" t="s">
        <v>429</v>
      </c>
      <c r="F519" s="77" t="s">
        <v>574</v>
      </c>
      <c r="G519" s="77" t="s">
        <v>27</v>
      </c>
      <c r="H519" s="77"/>
    </row>
    <row r="520" spans="1:8" x14ac:dyDescent="0.3">
      <c r="A520" t="s">
        <v>569</v>
      </c>
      <c r="B520" s="77" t="s">
        <v>134</v>
      </c>
      <c r="C520" s="77" t="s">
        <v>29</v>
      </c>
      <c r="D520" s="77" t="s">
        <v>573</v>
      </c>
      <c r="E520" s="77" t="s">
        <v>261</v>
      </c>
      <c r="F520" s="77" t="s">
        <v>449</v>
      </c>
      <c r="G520" s="77" t="s">
        <v>27</v>
      </c>
      <c r="H520" s="77"/>
    </row>
    <row r="521" spans="1:8" x14ac:dyDescent="0.3">
      <c r="A521" t="s">
        <v>569</v>
      </c>
      <c r="B521" s="77" t="s">
        <v>138</v>
      </c>
      <c r="C521" s="77" t="s">
        <v>29</v>
      </c>
      <c r="D521" s="77" t="s">
        <v>583</v>
      </c>
      <c r="E521" s="77" t="s">
        <v>238</v>
      </c>
      <c r="F521" s="77" t="s">
        <v>584</v>
      </c>
      <c r="G521" s="77" t="s">
        <v>27</v>
      </c>
      <c r="H521" s="77"/>
    </row>
    <row r="522" spans="1:8" x14ac:dyDescent="0.3">
      <c r="A522" t="s">
        <v>569</v>
      </c>
      <c r="B522" s="77" t="s">
        <v>142</v>
      </c>
      <c r="C522" s="77" t="s">
        <v>29</v>
      </c>
      <c r="D522" s="77" t="s">
        <v>585</v>
      </c>
      <c r="E522" s="77" t="s">
        <v>515</v>
      </c>
      <c r="F522" s="77" t="s">
        <v>444</v>
      </c>
      <c r="G522" s="77" t="s">
        <v>27</v>
      </c>
      <c r="H522" s="77"/>
    </row>
    <row r="523" spans="1:8" x14ac:dyDescent="0.3">
      <c r="A523" t="s">
        <v>569</v>
      </c>
      <c r="B523" s="77" t="s">
        <v>147</v>
      </c>
      <c r="C523" s="77" t="s">
        <v>29</v>
      </c>
      <c r="D523" s="77" t="s">
        <v>586</v>
      </c>
      <c r="E523" s="77" t="s">
        <v>505</v>
      </c>
      <c r="F523" s="77" t="s">
        <v>584</v>
      </c>
      <c r="G523" s="77" t="s">
        <v>27</v>
      </c>
      <c r="H523" s="77"/>
    </row>
    <row r="524" spans="1:8" x14ac:dyDescent="0.3">
      <c r="A524" t="s">
        <v>569</v>
      </c>
      <c r="B524" s="77" t="s">
        <v>151</v>
      </c>
      <c r="C524" s="77" t="s">
        <v>29</v>
      </c>
      <c r="D524" s="77" t="s">
        <v>211</v>
      </c>
      <c r="E524" s="77" t="s">
        <v>249</v>
      </c>
      <c r="F524" s="77" t="s">
        <v>314</v>
      </c>
      <c r="G524" s="77" t="s">
        <v>27</v>
      </c>
      <c r="H524" s="77"/>
    </row>
    <row r="525" spans="1:8" x14ac:dyDescent="0.3">
      <c r="A525" t="s">
        <v>569</v>
      </c>
      <c r="B525" s="77" t="s">
        <v>155</v>
      </c>
      <c r="C525" s="77" t="s">
        <v>29</v>
      </c>
      <c r="D525" s="77" t="s">
        <v>587</v>
      </c>
      <c r="E525" s="77" t="s">
        <v>289</v>
      </c>
      <c r="F525" s="77" t="s">
        <v>476</v>
      </c>
      <c r="G525" s="77" t="s">
        <v>27</v>
      </c>
      <c r="H525" s="77"/>
    </row>
    <row r="526" spans="1:8" x14ac:dyDescent="0.3">
      <c r="A526" t="s">
        <v>569</v>
      </c>
      <c r="B526" s="77" t="s">
        <v>159</v>
      </c>
      <c r="C526" s="77" t="s">
        <v>29</v>
      </c>
      <c r="D526" s="77" t="s">
        <v>259</v>
      </c>
      <c r="E526" s="77" t="s">
        <v>588</v>
      </c>
      <c r="F526" s="77" t="s">
        <v>283</v>
      </c>
      <c r="G526" s="77" t="s">
        <v>27</v>
      </c>
      <c r="H526" s="77"/>
    </row>
    <row r="527" spans="1:8" x14ac:dyDescent="0.3">
      <c r="A527" t="s">
        <v>569</v>
      </c>
      <c r="B527" s="77" t="s">
        <v>163</v>
      </c>
      <c r="C527" s="77" t="s">
        <v>29</v>
      </c>
      <c r="D527" s="77" t="s">
        <v>589</v>
      </c>
      <c r="E527" s="77" t="s">
        <v>590</v>
      </c>
      <c r="F527" s="77" t="s">
        <v>518</v>
      </c>
      <c r="G527" s="77" t="s">
        <v>27</v>
      </c>
      <c r="H527" s="77"/>
    </row>
    <row r="528" spans="1:8" x14ac:dyDescent="0.3">
      <c r="A528" t="s">
        <v>569</v>
      </c>
      <c r="B528" s="77" t="s">
        <v>166</v>
      </c>
      <c r="C528" s="77" t="s">
        <v>29</v>
      </c>
      <c r="D528" s="77" t="s">
        <v>591</v>
      </c>
      <c r="E528" s="77" t="s">
        <v>592</v>
      </c>
      <c r="F528" s="77" t="s">
        <v>505</v>
      </c>
      <c r="G528" s="77" t="s">
        <v>27</v>
      </c>
      <c r="H528" s="77"/>
    </row>
    <row r="529" spans="1:8" x14ac:dyDescent="0.3">
      <c r="A529" t="s">
        <v>569</v>
      </c>
      <c r="B529" s="77" t="s">
        <v>170</v>
      </c>
      <c r="C529" s="77" t="s">
        <v>29</v>
      </c>
      <c r="D529" s="77" t="s">
        <v>593</v>
      </c>
      <c r="E529" s="77" t="s">
        <v>223</v>
      </c>
      <c r="F529" s="77" t="s">
        <v>454</v>
      </c>
      <c r="G529" s="77" t="s">
        <v>27</v>
      </c>
      <c r="H529" s="77"/>
    </row>
    <row r="530" spans="1:8" x14ac:dyDescent="0.3">
      <c r="A530" t="s">
        <v>569</v>
      </c>
      <c r="B530" s="77" t="s">
        <v>175</v>
      </c>
      <c r="C530" s="77" t="s">
        <v>29</v>
      </c>
      <c r="D530" s="77" t="s">
        <v>594</v>
      </c>
      <c r="E530" s="77" t="s">
        <v>248</v>
      </c>
      <c r="F530" s="77" t="s">
        <v>443</v>
      </c>
      <c r="G530" s="77" t="s">
        <v>27</v>
      </c>
      <c r="H530" s="77"/>
    </row>
    <row r="531" spans="1:8" x14ac:dyDescent="0.3">
      <c r="A531" t="s">
        <v>569</v>
      </c>
      <c r="B531" s="77" t="s">
        <v>179</v>
      </c>
      <c r="C531" s="77" t="s">
        <v>29</v>
      </c>
      <c r="D531" s="77" t="s">
        <v>202</v>
      </c>
      <c r="E531" s="77" t="s">
        <v>595</v>
      </c>
      <c r="F531" s="77" t="s">
        <v>472</v>
      </c>
      <c r="G531" s="77" t="s">
        <v>27</v>
      </c>
      <c r="H531" s="77"/>
    </row>
    <row r="532" spans="1:8" x14ac:dyDescent="0.3">
      <c r="A532" t="s">
        <v>596</v>
      </c>
      <c r="B532" s="77" t="s">
        <v>33</v>
      </c>
      <c r="C532" s="77" t="s">
        <v>29</v>
      </c>
      <c r="D532" s="77" t="s">
        <v>597</v>
      </c>
      <c r="E532" s="77" t="s">
        <v>234</v>
      </c>
      <c r="F532" s="77" t="s">
        <v>299</v>
      </c>
      <c r="G532" s="77" t="s">
        <v>27</v>
      </c>
      <c r="H532" s="77"/>
    </row>
    <row r="533" spans="1:8" x14ac:dyDescent="0.3">
      <c r="A533" t="s">
        <v>596</v>
      </c>
      <c r="B533" s="77" t="s">
        <v>38</v>
      </c>
      <c r="C533" s="77" t="s">
        <v>29</v>
      </c>
      <c r="D533" s="77" t="s">
        <v>276</v>
      </c>
      <c r="E533" s="77" t="s">
        <v>598</v>
      </c>
      <c r="F533" s="77" t="s">
        <v>467</v>
      </c>
      <c r="G533" s="77" t="s">
        <v>27</v>
      </c>
      <c r="H533" s="77"/>
    </row>
    <row r="534" spans="1:8" x14ac:dyDescent="0.3">
      <c r="A534" t="s">
        <v>596</v>
      </c>
      <c r="B534" s="77" t="s">
        <v>43</v>
      </c>
      <c r="C534" s="77" t="s">
        <v>29</v>
      </c>
      <c r="D534" s="77" t="s">
        <v>599</v>
      </c>
      <c r="E534" s="77" t="s">
        <v>552</v>
      </c>
      <c r="F534" s="77" t="s">
        <v>294</v>
      </c>
      <c r="G534" s="77" t="s">
        <v>27</v>
      </c>
      <c r="H534" s="77"/>
    </row>
    <row r="535" spans="1:8" x14ac:dyDescent="0.3">
      <c r="A535" t="s">
        <v>596</v>
      </c>
      <c r="B535" s="77" t="s">
        <v>47</v>
      </c>
      <c r="C535" s="77" t="s">
        <v>29</v>
      </c>
      <c r="D535" s="77" t="s">
        <v>600</v>
      </c>
      <c r="E535" s="77" t="s">
        <v>601</v>
      </c>
      <c r="F535" s="77" t="s">
        <v>477</v>
      </c>
      <c r="G535" s="77" t="s">
        <v>74</v>
      </c>
      <c r="H535" s="77"/>
    </row>
    <row r="536" spans="1:8" x14ac:dyDescent="0.3">
      <c r="A536" t="s">
        <v>596</v>
      </c>
      <c r="B536" s="77" t="s">
        <v>52</v>
      </c>
      <c r="C536" s="77" t="s">
        <v>29</v>
      </c>
      <c r="D536" s="77" t="s">
        <v>602</v>
      </c>
      <c r="E536" s="77" t="s">
        <v>549</v>
      </c>
      <c r="F536" s="77" t="s">
        <v>461</v>
      </c>
      <c r="G536" s="77" t="s">
        <v>27</v>
      </c>
      <c r="H536" s="77"/>
    </row>
    <row r="537" spans="1:8" x14ac:dyDescent="0.3">
      <c r="A537" t="s">
        <v>596</v>
      </c>
      <c r="B537" s="77" t="s">
        <v>57</v>
      </c>
      <c r="C537" s="77" t="s">
        <v>29</v>
      </c>
      <c r="D537" s="77" t="s">
        <v>603</v>
      </c>
      <c r="E537" s="77" t="s">
        <v>484</v>
      </c>
      <c r="F537" s="77" t="s">
        <v>438</v>
      </c>
      <c r="G537" s="77" t="s">
        <v>27</v>
      </c>
      <c r="H537" s="77"/>
    </row>
    <row r="538" spans="1:8" x14ac:dyDescent="0.3">
      <c r="A538" t="s">
        <v>596</v>
      </c>
      <c r="B538" s="77" t="s">
        <v>62</v>
      </c>
      <c r="C538" s="77" t="s">
        <v>29</v>
      </c>
      <c r="D538" s="77" t="s">
        <v>604</v>
      </c>
      <c r="E538" s="77" t="s">
        <v>530</v>
      </c>
      <c r="F538" s="77" t="s">
        <v>291</v>
      </c>
      <c r="G538" s="77" t="s">
        <v>27</v>
      </c>
      <c r="H538" s="77"/>
    </row>
    <row r="539" spans="1:8" x14ac:dyDescent="0.3">
      <c r="A539" t="s">
        <v>596</v>
      </c>
      <c r="B539" s="77" t="s">
        <v>66</v>
      </c>
      <c r="C539" s="77" t="s">
        <v>29</v>
      </c>
      <c r="D539" s="77" t="s">
        <v>605</v>
      </c>
      <c r="E539" s="77" t="s">
        <v>554</v>
      </c>
      <c r="F539" s="77" t="s">
        <v>298</v>
      </c>
      <c r="G539" s="77" t="s">
        <v>27</v>
      </c>
      <c r="H539" s="77"/>
    </row>
    <row r="540" spans="1:8" x14ac:dyDescent="0.3">
      <c r="A540" t="s">
        <v>596</v>
      </c>
      <c r="B540" s="77" t="s">
        <v>70</v>
      </c>
      <c r="C540" s="77" t="s">
        <v>29</v>
      </c>
      <c r="D540" s="77" t="s">
        <v>606</v>
      </c>
      <c r="E540" s="77" t="s">
        <v>607</v>
      </c>
      <c r="F540" s="77" t="s">
        <v>339</v>
      </c>
      <c r="G540" s="77" t="s">
        <v>27</v>
      </c>
      <c r="H540" s="77"/>
    </row>
    <row r="541" spans="1:8" x14ac:dyDescent="0.3">
      <c r="A541" t="s">
        <v>596</v>
      </c>
      <c r="B541" s="77" t="s">
        <v>75</v>
      </c>
      <c r="C541" s="77" t="s">
        <v>29</v>
      </c>
      <c r="D541" s="77" t="s">
        <v>608</v>
      </c>
      <c r="E541" s="77" t="s">
        <v>552</v>
      </c>
      <c r="F541" s="77" t="s">
        <v>609</v>
      </c>
      <c r="G541" s="77" t="s">
        <v>27</v>
      </c>
      <c r="H541" s="77"/>
    </row>
    <row r="542" spans="1:8" x14ac:dyDescent="0.3">
      <c r="A542" t="s">
        <v>596</v>
      </c>
      <c r="B542" s="77" t="s">
        <v>79</v>
      </c>
      <c r="C542" s="77" t="s">
        <v>29</v>
      </c>
      <c r="D542" s="77" t="s">
        <v>580</v>
      </c>
      <c r="E542" s="77" t="s">
        <v>252</v>
      </c>
      <c r="F542" s="77" t="s">
        <v>320</v>
      </c>
      <c r="G542" s="77" t="s">
        <v>27</v>
      </c>
      <c r="H542" s="77"/>
    </row>
    <row r="543" spans="1:8" x14ac:dyDescent="0.3">
      <c r="A543" t="s">
        <v>596</v>
      </c>
      <c r="B543" s="77" t="s">
        <v>83</v>
      </c>
      <c r="C543" s="77" t="s">
        <v>29</v>
      </c>
      <c r="D543" s="77" t="s">
        <v>610</v>
      </c>
      <c r="E543" s="77" t="s">
        <v>237</v>
      </c>
      <c r="F543" s="77" t="s">
        <v>447</v>
      </c>
      <c r="G543" s="77" t="s">
        <v>27</v>
      </c>
      <c r="H543" s="77"/>
    </row>
    <row r="544" spans="1:8" x14ac:dyDescent="0.3">
      <c r="A544" t="s">
        <v>596</v>
      </c>
      <c r="B544" s="77" t="s">
        <v>88</v>
      </c>
      <c r="C544" s="77" t="s">
        <v>29</v>
      </c>
      <c r="D544" s="77" t="s">
        <v>611</v>
      </c>
      <c r="E544" s="77" t="s">
        <v>612</v>
      </c>
      <c r="F544" s="77" t="s">
        <v>471</v>
      </c>
      <c r="G544" s="77" t="s">
        <v>27</v>
      </c>
      <c r="H544" s="77"/>
    </row>
    <row r="545" spans="1:8" x14ac:dyDescent="0.3">
      <c r="A545" t="s">
        <v>596</v>
      </c>
      <c r="B545" s="77" t="s">
        <v>92</v>
      </c>
      <c r="C545" s="77" t="s">
        <v>29</v>
      </c>
      <c r="D545" s="77" t="s">
        <v>509</v>
      </c>
      <c r="E545" s="77" t="s">
        <v>598</v>
      </c>
      <c r="F545" s="77" t="s">
        <v>361</v>
      </c>
      <c r="G545" s="77" t="s">
        <v>27</v>
      </c>
      <c r="H545" s="77"/>
    </row>
    <row r="546" spans="1:8" x14ac:dyDescent="0.3">
      <c r="A546" t="s">
        <v>596</v>
      </c>
      <c r="B546" s="77" t="s">
        <v>96</v>
      </c>
      <c r="C546" s="77" t="s">
        <v>29</v>
      </c>
      <c r="D546" s="77" t="s">
        <v>613</v>
      </c>
      <c r="E546" s="77" t="s">
        <v>614</v>
      </c>
      <c r="F546" s="77" t="s">
        <v>283</v>
      </c>
      <c r="G546" s="77" t="s">
        <v>27</v>
      </c>
      <c r="H546" s="77"/>
    </row>
    <row r="547" spans="1:8" x14ac:dyDescent="0.3">
      <c r="A547" t="s">
        <v>596</v>
      </c>
      <c r="B547" s="77" t="s">
        <v>100</v>
      </c>
      <c r="C547" s="77" t="s">
        <v>29</v>
      </c>
      <c r="D547" s="77" t="s">
        <v>615</v>
      </c>
      <c r="E547" s="77" t="s">
        <v>220</v>
      </c>
      <c r="F547" s="77" t="s">
        <v>472</v>
      </c>
      <c r="G547" s="77" t="s">
        <v>27</v>
      </c>
      <c r="H547" s="77"/>
    </row>
    <row r="548" spans="1:8" x14ac:dyDescent="0.3">
      <c r="A548" t="s">
        <v>596</v>
      </c>
      <c r="B548" s="77" t="s">
        <v>104</v>
      </c>
      <c r="C548" s="77" t="s">
        <v>29</v>
      </c>
      <c r="D548" s="77" t="s">
        <v>611</v>
      </c>
      <c r="E548" s="77" t="s">
        <v>616</v>
      </c>
      <c r="F548" s="77" t="s">
        <v>283</v>
      </c>
      <c r="G548" s="77" t="s">
        <v>27</v>
      </c>
      <c r="H548" s="77"/>
    </row>
    <row r="549" spans="1:8" x14ac:dyDescent="0.3">
      <c r="A549" t="s">
        <v>596</v>
      </c>
      <c r="B549" s="77" t="s">
        <v>108</v>
      </c>
      <c r="C549" s="77" t="s">
        <v>29</v>
      </c>
      <c r="D549" s="77" t="s">
        <v>617</v>
      </c>
      <c r="E549" s="77" t="s">
        <v>229</v>
      </c>
      <c r="F549" s="77" t="s">
        <v>618</v>
      </c>
      <c r="G549" s="77" t="s">
        <v>27</v>
      </c>
      <c r="H549" s="77"/>
    </row>
    <row r="550" spans="1:8" x14ac:dyDescent="0.3">
      <c r="A550" t="s">
        <v>596</v>
      </c>
      <c r="B550" s="77" t="s">
        <v>112</v>
      </c>
      <c r="C550" s="77" t="s">
        <v>29</v>
      </c>
      <c r="D550" s="77" t="s">
        <v>619</v>
      </c>
      <c r="E550" s="77" t="s">
        <v>292</v>
      </c>
      <c r="F550" s="77" t="s">
        <v>439</v>
      </c>
      <c r="G550" s="77" t="s">
        <v>27</v>
      </c>
      <c r="H550" s="77"/>
    </row>
    <row r="551" spans="1:8" x14ac:dyDescent="0.3">
      <c r="A551" t="s">
        <v>596</v>
      </c>
      <c r="B551" s="77" t="s">
        <v>116</v>
      </c>
      <c r="C551" s="77" t="s">
        <v>29</v>
      </c>
      <c r="D551" s="77" t="s">
        <v>193</v>
      </c>
      <c r="E551" s="77" t="s">
        <v>620</v>
      </c>
      <c r="F551" s="77" t="s">
        <v>429</v>
      </c>
      <c r="G551" s="77" t="s">
        <v>27</v>
      </c>
      <c r="H551" s="77"/>
    </row>
    <row r="552" spans="1:8" x14ac:dyDescent="0.3">
      <c r="A552" t="s">
        <v>596</v>
      </c>
      <c r="B552" s="77" t="s">
        <v>121</v>
      </c>
      <c r="C552" s="77" t="s">
        <v>29</v>
      </c>
      <c r="D552" s="77" t="s">
        <v>621</v>
      </c>
      <c r="E552" s="77" t="s">
        <v>292</v>
      </c>
      <c r="F552" s="77" t="s">
        <v>440</v>
      </c>
      <c r="G552" s="77" t="s">
        <v>27</v>
      </c>
      <c r="H552" s="77"/>
    </row>
    <row r="553" spans="1:8" x14ac:dyDescent="0.3">
      <c r="A553" t="s">
        <v>596</v>
      </c>
      <c r="B553" s="77" t="s">
        <v>125</v>
      </c>
      <c r="C553" s="77" t="s">
        <v>29</v>
      </c>
      <c r="D553" s="77" t="s">
        <v>622</v>
      </c>
      <c r="E553" s="77" t="s">
        <v>548</v>
      </c>
      <c r="F553" s="77" t="s">
        <v>440</v>
      </c>
      <c r="G553" s="77" t="s">
        <v>27</v>
      </c>
      <c r="H553" s="77"/>
    </row>
    <row r="554" spans="1:8" x14ac:dyDescent="0.3">
      <c r="A554" t="s">
        <v>596</v>
      </c>
      <c r="B554" s="77" t="s">
        <v>129</v>
      </c>
      <c r="C554" s="77" t="s">
        <v>29</v>
      </c>
      <c r="D554" s="77" t="s">
        <v>622</v>
      </c>
      <c r="E554" s="77" t="s">
        <v>623</v>
      </c>
      <c r="F554" s="77" t="s">
        <v>288</v>
      </c>
      <c r="G554" s="77" t="s">
        <v>27</v>
      </c>
      <c r="H554" s="77"/>
    </row>
    <row r="555" spans="1:8" x14ac:dyDescent="0.3">
      <c r="A555" t="s">
        <v>596</v>
      </c>
      <c r="B555" s="77" t="s">
        <v>134</v>
      </c>
      <c r="C555" s="77" t="s">
        <v>29</v>
      </c>
      <c r="D555" s="77" t="s">
        <v>534</v>
      </c>
      <c r="E555" s="77" t="s">
        <v>548</v>
      </c>
      <c r="F555" s="77" t="s">
        <v>560</v>
      </c>
      <c r="G555" s="77" t="s">
        <v>27</v>
      </c>
      <c r="H555" s="77"/>
    </row>
    <row r="556" spans="1:8" x14ac:dyDescent="0.3">
      <c r="A556" t="s">
        <v>596</v>
      </c>
      <c r="B556" s="77" t="s">
        <v>138</v>
      </c>
      <c r="C556" s="77" t="s">
        <v>29</v>
      </c>
      <c r="D556" s="77" t="s">
        <v>624</v>
      </c>
      <c r="E556" s="77" t="s">
        <v>254</v>
      </c>
      <c r="F556" s="77" t="s">
        <v>458</v>
      </c>
      <c r="G556" s="77" t="s">
        <v>27</v>
      </c>
      <c r="H556" s="77"/>
    </row>
    <row r="557" spans="1:8" x14ac:dyDescent="0.3">
      <c r="A557" t="s">
        <v>596</v>
      </c>
      <c r="B557" s="77" t="s">
        <v>142</v>
      </c>
      <c r="C557" s="77" t="s">
        <v>29</v>
      </c>
      <c r="D557" s="77" t="s">
        <v>625</v>
      </c>
      <c r="E557" s="77" t="s">
        <v>240</v>
      </c>
      <c r="F557" s="77" t="s">
        <v>470</v>
      </c>
      <c r="G557" s="77" t="s">
        <v>27</v>
      </c>
      <c r="H557" s="77"/>
    </row>
    <row r="558" spans="1:8" x14ac:dyDescent="0.3">
      <c r="A558" t="s">
        <v>596</v>
      </c>
      <c r="B558" s="77" t="s">
        <v>147</v>
      </c>
      <c r="C558" s="77" t="s">
        <v>29</v>
      </c>
      <c r="D558" s="77" t="s">
        <v>626</v>
      </c>
      <c r="E558" s="77" t="s">
        <v>217</v>
      </c>
      <c r="F558" s="77" t="s">
        <v>470</v>
      </c>
      <c r="G558" s="77" t="s">
        <v>27</v>
      </c>
      <c r="H558" s="77"/>
    </row>
    <row r="559" spans="1:8" x14ac:dyDescent="0.3">
      <c r="A559" t="s">
        <v>596</v>
      </c>
      <c r="B559" s="77" t="s">
        <v>151</v>
      </c>
      <c r="C559" s="77" t="s">
        <v>29</v>
      </c>
      <c r="D559" s="77" t="s">
        <v>627</v>
      </c>
      <c r="E559" s="77" t="s">
        <v>538</v>
      </c>
      <c r="F559" s="77" t="s">
        <v>431</v>
      </c>
      <c r="G559" s="77" t="s">
        <v>27</v>
      </c>
      <c r="H559" s="77"/>
    </row>
    <row r="560" spans="1:8" x14ac:dyDescent="0.3">
      <c r="A560" t="s">
        <v>596</v>
      </c>
      <c r="B560" s="77" t="s">
        <v>155</v>
      </c>
      <c r="C560" s="77" t="s">
        <v>29</v>
      </c>
      <c r="D560" s="77" t="s">
        <v>628</v>
      </c>
      <c r="E560" s="77" t="s">
        <v>629</v>
      </c>
      <c r="F560" s="77" t="s">
        <v>492</v>
      </c>
      <c r="G560" s="77" t="s">
        <v>27</v>
      </c>
      <c r="H560" s="77"/>
    </row>
    <row r="561" spans="1:8" x14ac:dyDescent="0.3">
      <c r="A561" t="s">
        <v>596</v>
      </c>
      <c r="B561" s="77" t="s">
        <v>159</v>
      </c>
      <c r="C561" s="77" t="s">
        <v>29</v>
      </c>
      <c r="D561" s="77" t="s">
        <v>630</v>
      </c>
      <c r="E561" s="77" t="s">
        <v>631</v>
      </c>
      <c r="F561" s="77" t="s">
        <v>524</v>
      </c>
      <c r="G561" s="77" t="s">
        <v>27</v>
      </c>
      <c r="H561" s="77"/>
    </row>
    <row r="562" spans="1:8" x14ac:dyDescent="0.3">
      <c r="A562" t="s">
        <v>596</v>
      </c>
      <c r="B562" s="77" t="s">
        <v>163</v>
      </c>
      <c r="C562" s="77" t="s">
        <v>29</v>
      </c>
      <c r="D562" s="77" t="s">
        <v>632</v>
      </c>
      <c r="E562" s="77" t="s">
        <v>633</v>
      </c>
      <c r="F562" s="77" t="s">
        <v>536</v>
      </c>
      <c r="G562" s="77" t="s">
        <v>27</v>
      </c>
      <c r="H562" s="77"/>
    </row>
    <row r="563" spans="1:8" x14ac:dyDescent="0.3">
      <c r="A563" t="s">
        <v>596</v>
      </c>
      <c r="B563" s="77" t="s">
        <v>166</v>
      </c>
      <c r="C563" s="77" t="s">
        <v>29</v>
      </c>
      <c r="D563" s="77" t="s">
        <v>634</v>
      </c>
      <c r="E563" s="77" t="s">
        <v>635</v>
      </c>
      <c r="F563" s="77" t="s">
        <v>636</v>
      </c>
      <c r="G563" s="77" t="s">
        <v>27</v>
      </c>
      <c r="H563" s="77"/>
    </row>
    <row r="564" spans="1:8" x14ac:dyDescent="0.3">
      <c r="A564" t="s">
        <v>596</v>
      </c>
      <c r="B564" s="77" t="s">
        <v>170</v>
      </c>
      <c r="C564" s="77" t="s">
        <v>29</v>
      </c>
      <c r="D564" s="77" t="s">
        <v>637</v>
      </c>
      <c r="E564" s="77" t="s">
        <v>585</v>
      </c>
      <c r="F564" s="77" t="s">
        <v>638</v>
      </c>
      <c r="G564" s="77" t="s">
        <v>27</v>
      </c>
      <c r="H564" s="77"/>
    </row>
    <row r="565" spans="1:8" x14ac:dyDescent="0.3">
      <c r="A565" t="s">
        <v>596</v>
      </c>
      <c r="B565" s="77" t="s">
        <v>175</v>
      </c>
      <c r="C565" s="77" t="s">
        <v>29</v>
      </c>
      <c r="D565" s="77" t="s">
        <v>639</v>
      </c>
      <c r="E565" s="77" t="s">
        <v>566</v>
      </c>
      <c r="F565" s="77" t="s">
        <v>518</v>
      </c>
      <c r="G565" s="77" t="s">
        <v>27</v>
      </c>
      <c r="H565" s="77"/>
    </row>
    <row r="566" spans="1:8" x14ac:dyDescent="0.3">
      <c r="A566" t="s">
        <v>596</v>
      </c>
      <c r="B566" s="77" t="s">
        <v>179</v>
      </c>
      <c r="C566" s="77" t="s">
        <v>29</v>
      </c>
      <c r="D566" s="77" t="s">
        <v>640</v>
      </c>
      <c r="E566" s="77" t="s">
        <v>641</v>
      </c>
      <c r="F566" s="77" t="s">
        <v>496</v>
      </c>
      <c r="G566" s="77" t="s">
        <v>27</v>
      </c>
      <c r="H566" s="77"/>
    </row>
    <row r="567" spans="1:8" x14ac:dyDescent="0.3">
      <c r="A567" t="s">
        <v>642</v>
      </c>
      <c r="B567" s="77" t="s">
        <v>33</v>
      </c>
      <c r="C567" s="77" t="s">
        <v>29</v>
      </c>
      <c r="D567" s="77" t="s">
        <v>202</v>
      </c>
      <c r="E567" s="77" t="s">
        <v>570</v>
      </c>
      <c r="F567" s="77" t="s">
        <v>618</v>
      </c>
      <c r="G567" s="77" t="s">
        <v>27</v>
      </c>
      <c r="H567" s="77"/>
    </row>
    <row r="568" spans="1:8" x14ac:dyDescent="0.3">
      <c r="A568" t="s">
        <v>642</v>
      </c>
      <c r="B568" s="77" t="s">
        <v>38</v>
      </c>
      <c r="C568" s="77" t="s">
        <v>29</v>
      </c>
      <c r="D568" s="77" t="s">
        <v>636</v>
      </c>
      <c r="E568" s="77" t="s">
        <v>255</v>
      </c>
      <c r="F568" s="77" t="s">
        <v>584</v>
      </c>
      <c r="G568" s="77" t="s">
        <v>27</v>
      </c>
      <c r="H568" s="77"/>
    </row>
    <row r="569" spans="1:8" x14ac:dyDescent="0.3">
      <c r="A569" t="s">
        <v>642</v>
      </c>
      <c r="B569" s="77" t="s">
        <v>43</v>
      </c>
      <c r="C569" s="77" t="s">
        <v>29</v>
      </c>
      <c r="D569" s="77" t="s">
        <v>643</v>
      </c>
      <c r="E569" s="77" t="s">
        <v>289</v>
      </c>
      <c r="F569" s="77" t="s">
        <v>363</v>
      </c>
      <c r="G569" s="77" t="s">
        <v>27</v>
      </c>
      <c r="H569" s="77"/>
    </row>
    <row r="570" spans="1:8" x14ac:dyDescent="0.3">
      <c r="A570" t="s">
        <v>642</v>
      </c>
      <c r="B570" s="77" t="s">
        <v>47</v>
      </c>
      <c r="C570" s="77" t="s">
        <v>29</v>
      </c>
      <c r="D570" s="77" t="s">
        <v>619</v>
      </c>
      <c r="E570" s="77" t="s">
        <v>240</v>
      </c>
      <c r="F570" s="77" t="s">
        <v>443</v>
      </c>
      <c r="G570" s="77" t="s">
        <v>56</v>
      </c>
      <c r="H570" s="77"/>
    </row>
    <row r="571" spans="1:8" x14ac:dyDescent="0.3">
      <c r="A571" t="s">
        <v>642</v>
      </c>
      <c r="B571" s="77" t="s">
        <v>52</v>
      </c>
      <c r="C571" s="77" t="s">
        <v>29</v>
      </c>
      <c r="D571" s="77" t="s">
        <v>199</v>
      </c>
      <c r="E571" s="77" t="s">
        <v>644</v>
      </c>
      <c r="F571" s="77" t="s">
        <v>407</v>
      </c>
      <c r="G571" s="77" t="s">
        <v>27</v>
      </c>
      <c r="H571" s="77"/>
    </row>
    <row r="572" spans="1:8" x14ac:dyDescent="0.3">
      <c r="A572" t="s">
        <v>642</v>
      </c>
      <c r="B572" s="77" t="s">
        <v>57</v>
      </c>
      <c r="C572" s="77" t="s">
        <v>29</v>
      </c>
      <c r="D572" s="77" t="s">
        <v>645</v>
      </c>
      <c r="E572" s="77" t="s">
        <v>240</v>
      </c>
      <c r="F572" s="77" t="s">
        <v>584</v>
      </c>
      <c r="G572" s="77" t="s">
        <v>27</v>
      </c>
      <c r="H572" s="77"/>
    </row>
    <row r="573" spans="1:8" x14ac:dyDescent="0.3">
      <c r="A573" t="s">
        <v>642</v>
      </c>
      <c r="B573" s="77" t="s">
        <v>62</v>
      </c>
      <c r="C573" s="77" t="s">
        <v>29</v>
      </c>
      <c r="D573" s="77" t="s">
        <v>646</v>
      </c>
      <c r="E573" s="77" t="s">
        <v>263</v>
      </c>
      <c r="F573" s="77" t="s">
        <v>363</v>
      </c>
      <c r="G573" s="77" t="s">
        <v>27</v>
      </c>
      <c r="H573" s="77"/>
    </row>
    <row r="574" spans="1:8" x14ac:dyDescent="0.3">
      <c r="A574" t="s">
        <v>642</v>
      </c>
      <c r="B574" s="77" t="s">
        <v>66</v>
      </c>
      <c r="C574" s="77" t="s">
        <v>29</v>
      </c>
      <c r="D574" s="77" t="s">
        <v>594</v>
      </c>
      <c r="E574" s="77" t="s">
        <v>289</v>
      </c>
      <c r="F574" s="77" t="s">
        <v>437</v>
      </c>
      <c r="G574" s="77" t="s">
        <v>27</v>
      </c>
      <c r="H574" s="77"/>
    </row>
    <row r="575" spans="1:8" x14ac:dyDescent="0.3">
      <c r="A575" t="s">
        <v>642</v>
      </c>
      <c r="B575" s="77" t="s">
        <v>70</v>
      </c>
      <c r="C575" s="77" t="s">
        <v>29</v>
      </c>
      <c r="D575" s="77" t="s">
        <v>647</v>
      </c>
      <c r="E575" s="77" t="s">
        <v>556</v>
      </c>
      <c r="F575" s="77" t="s">
        <v>264</v>
      </c>
      <c r="G575" s="77" t="s">
        <v>27</v>
      </c>
      <c r="H575" s="77"/>
    </row>
    <row r="576" spans="1:8" x14ac:dyDescent="0.3">
      <c r="A576" t="s">
        <v>642</v>
      </c>
      <c r="B576" s="77" t="s">
        <v>75</v>
      </c>
      <c r="C576" s="77" t="s">
        <v>29</v>
      </c>
      <c r="D576" s="77" t="s">
        <v>648</v>
      </c>
      <c r="E576" s="77" t="s">
        <v>558</v>
      </c>
      <c r="F576" s="77" t="s">
        <v>275</v>
      </c>
      <c r="G576" s="77" t="s">
        <v>27</v>
      </c>
      <c r="H576" s="77"/>
    </row>
    <row r="577" spans="1:8" x14ac:dyDescent="0.3">
      <c r="A577" t="s">
        <v>642</v>
      </c>
      <c r="B577" s="77" t="s">
        <v>79</v>
      </c>
      <c r="C577" s="77" t="s">
        <v>29</v>
      </c>
      <c r="D577" s="77" t="s">
        <v>646</v>
      </c>
      <c r="E577" s="77" t="s">
        <v>511</v>
      </c>
      <c r="F577" s="77" t="s">
        <v>451</v>
      </c>
      <c r="G577" s="77" t="s">
        <v>27</v>
      </c>
      <c r="H577" s="77"/>
    </row>
    <row r="578" spans="1:8" x14ac:dyDescent="0.3">
      <c r="A578" t="s">
        <v>642</v>
      </c>
      <c r="B578" s="77" t="s">
        <v>83</v>
      </c>
      <c r="C578" s="77" t="s">
        <v>29</v>
      </c>
      <c r="D578" s="77" t="s">
        <v>202</v>
      </c>
      <c r="E578" s="77" t="s">
        <v>649</v>
      </c>
      <c r="F578" s="77" t="s">
        <v>269</v>
      </c>
      <c r="G578" s="77" t="s">
        <v>27</v>
      </c>
      <c r="H578" s="77"/>
    </row>
    <row r="579" spans="1:8" x14ac:dyDescent="0.3">
      <c r="A579" t="s">
        <v>642</v>
      </c>
      <c r="B579" s="77" t="s">
        <v>88</v>
      </c>
      <c r="C579" s="77" t="s">
        <v>29</v>
      </c>
      <c r="D579" s="77" t="s">
        <v>650</v>
      </c>
      <c r="E579" s="77" t="s">
        <v>220</v>
      </c>
      <c r="F579" s="77" t="s">
        <v>618</v>
      </c>
      <c r="G579" s="77" t="s">
        <v>27</v>
      </c>
      <c r="H579" s="77"/>
    </row>
    <row r="580" spans="1:8" x14ac:dyDescent="0.3">
      <c r="A580" t="s">
        <v>642</v>
      </c>
      <c r="B580" s="77" t="s">
        <v>92</v>
      </c>
      <c r="C580" s="77" t="s">
        <v>29</v>
      </c>
      <c r="D580" s="77" t="s">
        <v>651</v>
      </c>
      <c r="E580" s="77" t="s">
        <v>270</v>
      </c>
      <c r="F580" s="77" t="s">
        <v>520</v>
      </c>
      <c r="G580" s="77" t="s">
        <v>27</v>
      </c>
      <c r="H580" s="77"/>
    </row>
    <row r="581" spans="1:8" x14ac:dyDescent="0.3">
      <c r="A581" t="s">
        <v>642</v>
      </c>
      <c r="B581" s="77" t="s">
        <v>96</v>
      </c>
      <c r="C581" s="77" t="s">
        <v>29</v>
      </c>
      <c r="D581" s="77" t="s">
        <v>652</v>
      </c>
      <c r="E581" s="77" t="s">
        <v>653</v>
      </c>
      <c r="F581" s="77" t="s">
        <v>432</v>
      </c>
      <c r="G581" s="77" t="s">
        <v>27</v>
      </c>
      <c r="H581" s="77"/>
    </row>
    <row r="582" spans="1:8" x14ac:dyDescent="0.3">
      <c r="A582" t="s">
        <v>642</v>
      </c>
      <c r="B582" s="77" t="s">
        <v>100</v>
      </c>
      <c r="C582" s="77" t="s">
        <v>29</v>
      </c>
      <c r="D582" s="77" t="s">
        <v>654</v>
      </c>
      <c r="E582" s="77" t="s">
        <v>653</v>
      </c>
      <c r="F582" s="77" t="s">
        <v>300</v>
      </c>
      <c r="G582" s="77" t="s">
        <v>27</v>
      </c>
      <c r="H582" s="77"/>
    </row>
    <row r="583" spans="1:8" x14ac:dyDescent="0.3">
      <c r="A583" t="s">
        <v>642</v>
      </c>
      <c r="B583" s="77" t="s">
        <v>104</v>
      </c>
      <c r="C583" s="77" t="s">
        <v>29</v>
      </c>
      <c r="D583" s="77" t="s">
        <v>655</v>
      </c>
      <c r="E583" s="77" t="s">
        <v>543</v>
      </c>
      <c r="F583" s="77" t="s">
        <v>656</v>
      </c>
      <c r="G583" s="77" t="s">
        <v>27</v>
      </c>
      <c r="H583" s="77"/>
    </row>
    <row r="584" spans="1:8" x14ac:dyDescent="0.3">
      <c r="A584" t="s">
        <v>642</v>
      </c>
      <c r="B584" s="77" t="s">
        <v>108</v>
      </c>
      <c r="C584" s="77" t="s">
        <v>29</v>
      </c>
      <c r="D584" s="77" t="s">
        <v>657</v>
      </c>
      <c r="E584" s="77" t="s">
        <v>658</v>
      </c>
      <c r="F584" s="77" t="s">
        <v>470</v>
      </c>
      <c r="G584" s="77" t="s">
        <v>27</v>
      </c>
      <c r="H584" s="77"/>
    </row>
    <row r="585" spans="1:8" x14ac:dyDescent="0.3">
      <c r="A585" t="s">
        <v>642</v>
      </c>
      <c r="B585" s="77" t="s">
        <v>112</v>
      </c>
      <c r="C585" s="77" t="s">
        <v>29</v>
      </c>
      <c r="D585" s="77" t="s">
        <v>659</v>
      </c>
      <c r="E585" s="77" t="s">
        <v>660</v>
      </c>
      <c r="F585" s="77" t="s">
        <v>661</v>
      </c>
      <c r="G585" s="77" t="s">
        <v>27</v>
      </c>
      <c r="H585" s="77"/>
    </row>
    <row r="586" spans="1:8" x14ac:dyDescent="0.3">
      <c r="A586" t="s">
        <v>642</v>
      </c>
      <c r="B586" s="77" t="s">
        <v>116</v>
      </c>
      <c r="C586" s="77" t="s">
        <v>29</v>
      </c>
      <c r="D586" s="77" t="s">
        <v>630</v>
      </c>
      <c r="E586" s="77" t="s">
        <v>662</v>
      </c>
      <c r="F586" s="77" t="s">
        <v>518</v>
      </c>
      <c r="G586" s="77" t="s">
        <v>27</v>
      </c>
      <c r="H586" s="77"/>
    </row>
    <row r="587" spans="1:8" x14ac:dyDescent="0.3">
      <c r="A587" t="s">
        <v>642</v>
      </c>
      <c r="B587" s="77" t="s">
        <v>121</v>
      </c>
      <c r="C587" s="77" t="s">
        <v>29</v>
      </c>
      <c r="D587" s="77" t="s">
        <v>663</v>
      </c>
      <c r="E587" s="77" t="s">
        <v>236</v>
      </c>
      <c r="F587" s="77" t="s">
        <v>300</v>
      </c>
      <c r="G587" s="77" t="s">
        <v>27</v>
      </c>
      <c r="H587" s="77"/>
    </row>
    <row r="588" spans="1:8" x14ac:dyDescent="0.3">
      <c r="A588" t="s">
        <v>642</v>
      </c>
      <c r="B588" s="77" t="s">
        <v>125</v>
      </c>
      <c r="C588" s="77" t="s">
        <v>29</v>
      </c>
      <c r="D588" s="77" t="s">
        <v>630</v>
      </c>
      <c r="E588" s="77" t="s">
        <v>664</v>
      </c>
      <c r="F588" s="77" t="s">
        <v>507</v>
      </c>
      <c r="G588" s="77" t="s">
        <v>27</v>
      </c>
      <c r="H588" s="77"/>
    </row>
    <row r="589" spans="1:8" x14ac:dyDescent="0.3">
      <c r="A589" t="s">
        <v>642</v>
      </c>
      <c r="B589" s="77" t="s">
        <v>129</v>
      </c>
      <c r="C589" s="77" t="s">
        <v>29</v>
      </c>
      <c r="D589" s="77" t="s">
        <v>665</v>
      </c>
      <c r="E589" s="77" t="s">
        <v>605</v>
      </c>
      <c r="F589" s="77" t="s">
        <v>513</v>
      </c>
      <c r="G589" s="77" t="s">
        <v>74</v>
      </c>
      <c r="H589" s="77"/>
    </row>
    <row r="590" spans="1:8" x14ac:dyDescent="0.3">
      <c r="A590" t="s">
        <v>642</v>
      </c>
      <c r="B590" s="77" t="s">
        <v>134</v>
      </c>
      <c r="C590" s="77" t="s">
        <v>29</v>
      </c>
      <c r="D590" s="77" t="s">
        <v>666</v>
      </c>
      <c r="E590" s="77" t="s">
        <v>667</v>
      </c>
      <c r="F590" s="77" t="s">
        <v>638</v>
      </c>
      <c r="G590" s="77" t="s">
        <v>27</v>
      </c>
      <c r="H590" s="77"/>
    </row>
    <row r="591" spans="1:8" x14ac:dyDescent="0.3">
      <c r="A591" t="s">
        <v>642</v>
      </c>
      <c r="B591" s="77" t="s">
        <v>138</v>
      </c>
      <c r="C591" s="77" t="s">
        <v>29</v>
      </c>
      <c r="D591" s="77" t="s">
        <v>668</v>
      </c>
      <c r="E591" s="77" t="s">
        <v>669</v>
      </c>
      <c r="F591" s="77" t="s">
        <v>552</v>
      </c>
      <c r="G591" s="77" t="s">
        <v>27</v>
      </c>
      <c r="H591" s="77"/>
    </row>
    <row r="592" spans="1:8" x14ac:dyDescent="0.3">
      <c r="A592" t="s">
        <v>642</v>
      </c>
      <c r="B592" s="77" t="s">
        <v>142</v>
      </c>
      <c r="C592" s="77" t="s">
        <v>29</v>
      </c>
      <c r="D592" s="77" t="s">
        <v>670</v>
      </c>
      <c r="E592" s="77" t="s">
        <v>563</v>
      </c>
      <c r="F592" s="77" t="s">
        <v>486</v>
      </c>
      <c r="G592" s="77" t="s">
        <v>27</v>
      </c>
      <c r="H592" s="77"/>
    </row>
    <row r="593" spans="1:8" x14ac:dyDescent="0.3">
      <c r="A593" t="s">
        <v>642</v>
      </c>
      <c r="B593" s="77" t="s">
        <v>147</v>
      </c>
      <c r="C593" s="77" t="s">
        <v>29</v>
      </c>
      <c r="D593" s="77" t="s">
        <v>671</v>
      </c>
      <c r="E593" s="77" t="s">
        <v>672</v>
      </c>
      <c r="F593" s="77" t="s">
        <v>673</v>
      </c>
      <c r="G593" s="77" t="s">
        <v>27</v>
      </c>
      <c r="H593" s="77"/>
    </row>
    <row r="594" spans="1:8" x14ac:dyDescent="0.3">
      <c r="A594" t="s">
        <v>642</v>
      </c>
      <c r="B594" s="77" t="s">
        <v>151</v>
      </c>
      <c r="C594" s="77" t="s">
        <v>29</v>
      </c>
      <c r="D594" s="77" t="s">
        <v>674</v>
      </c>
      <c r="E594" s="77" t="s">
        <v>675</v>
      </c>
      <c r="F594" s="77" t="s">
        <v>676</v>
      </c>
      <c r="G594" s="77" t="s">
        <v>27</v>
      </c>
      <c r="H594" s="77"/>
    </row>
    <row r="595" spans="1:8" x14ac:dyDescent="0.3">
      <c r="A595" t="s">
        <v>642</v>
      </c>
      <c r="B595" s="77" t="s">
        <v>155</v>
      </c>
      <c r="C595" s="77" t="s">
        <v>29</v>
      </c>
      <c r="D595" s="77" t="s">
        <v>677</v>
      </c>
      <c r="E595" s="77" t="s">
        <v>509</v>
      </c>
      <c r="F595" s="77" t="s">
        <v>588</v>
      </c>
      <c r="G595" s="77" t="s">
        <v>27</v>
      </c>
      <c r="H595" s="77"/>
    </row>
    <row r="596" spans="1:8" x14ac:dyDescent="0.3">
      <c r="A596" t="s">
        <v>642</v>
      </c>
      <c r="B596" s="77" t="s">
        <v>159</v>
      </c>
      <c r="C596" s="77" t="s">
        <v>29</v>
      </c>
      <c r="D596" s="77" t="s">
        <v>678</v>
      </c>
      <c r="E596" s="77" t="s">
        <v>262</v>
      </c>
      <c r="F596" s="77" t="s">
        <v>577</v>
      </c>
      <c r="G596" s="77" t="s">
        <v>27</v>
      </c>
      <c r="H596" s="77"/>
    </row>
    <row r="597" spans="1:8" x14ac:dyDescent="0.3">
      <c r="A597" t="s">
        <v>642</v>
      </c>
      <c r="B597" s="77" t="s">
        <v>163</v>
      </c>
      <c r="C597" s="77" t="s">
        <v>29</v>
      </c>
      <c r="D597" s="77" t="s">
        <v>679</v>
      </c>
      <c r="E597" s="77" t="s">
        <v>680</v>
      </c>
      <c r="F597" s="77" t="s">
        <v>672</v>
      </c>
      <c r="G597" s="77" t="s">
        <v>27</v>
      </c>
      <c r="H597" s="77"/>
    </row>
    <row r="598" spans="1:8" x14ac:dyDescent="0.3">
      <c r="A598" t="s">
        <v>642</v>
      </c>
      <c r="B598" s="77" t="s">
        <v>166</v>
      </c>
      <c r="C598" s="77" t="s">
        <v>29</v>
      </c>
      <c r="D598" s="77" t="s">
        <v>681</v>
      </c>
      <c r="E598" s="77" t="s">
        <v>682</v>
      </c>
      <c r="F598" s="77" t="s">
        <v>683</v>
      </c>
      <c r="G598" s="77" t="s">
        <v>27</v>
      </c>
      <c r="H598" s="77"/>
    </row>
    <row r="599" spans="1:8" x14ac:dyDescent="0.3">
      <c r="A599" t="s">
        <v>642</v>
      </c>
      <c r="B599" s="77" t="s">
        <v>170</v>
      </c>
      <c r="C599" s="77" t="s">
        <v>29</v>
      </c>
      <c r="D599" s="77" t="s">
        <v>684</v>
      </c>
      <c r="E599" s="77" t="s">
        <v>685</v>
      </c>
      <c r="F599" s="77" t="s">
        <v>686</v>
      </c>
      <c r="G599" s="77" t="s">
        <v>27</v>
      </c>
      <c r="H599" s="77"/>
    </row>
    <row r="600" spans="1:8" x14ac:dyDescent="0.3">
      <c r="A600" t="s">
        <v>642</v>
      </c>
      <c r="B600" s="77" t="s">
        <v>175</v>
      </c>
      <c r="C600" s="77" t="s">
        <v>29</v>
      </c>
      <c r="D600" s="77" t="s">
        <v>687</v>
      </c>
      <c r="E600" s="77" t="s">
        <v>688</v>
      </c>
      <c r="F600" s="77" t="s">
        <v>546</v>
      </c>
      <c r="G600" s="77" t="s">
        <v>27</v>
      </c>
      <c r="H600" s="77"/>
    </row>
    <row r="601" spans="1:8" x14ac:dyDescent="0.3">
      <c r="A601" t="s">
        <v>642</v>
      </c>
      <c r="B601" s="77" t="s">
        <v>179</v>
      </c>
      <c r="C601" s="77" t="s">
        <v>29</v>
      </c>
      <c r="D601" s="77" t="s">
        <v>689</v>
      </c>
      <c r="E601" s="77" t="s">
        <v>534</v>
      </c>
      <c r="F601" s="77" t="s">
        <v>251</v>
      </c>
      <c r="G601" s="77" t="s">
        <v>27</v>
      </c>
      <c r="H601" s="77"/>
    </row>
    <row r="602" spans="1:8" x14ac:dyDescent="0.3">
      <c r="A602" t="s">
        <v>690</v>
      </c>
      <c r="B602" s="77" t="s">
        <v>33</v>
      </c>
      <c r="C602" s="77" t="s">
        <v>29</v>
      </c>
      <c r="D602" s="77" t="s">
        <v>587</v>
      </c>
      <c r="E602" s="77" t="s">
        <v>623</v>
      </c>
      <c r="F602" s="77" t="s">
        <v>463</v>
      </c>
      <c r="G602" s="77" t="s">
        <v>74</v>
      </c>
      <c r="H602" s="77"/>
    </row>
    <row r="603" spans="1:8" x14ac:dyDescent="0.3">
      <c r="A603" t="s">
        <v>690</v>
      </c>
      <c r="B603" s="77" t="s">
        <v>38</v>
      </c>
      <c r="C603" s="77" t="s">
        <v>29</v>
      </c>
      <c r="D603" s="77" t="s">
        <v>691</v>
      </c>
      <c r="E603" s="77" t="s">
        <v>692</v>
      </c>
      <c r="F603" s="77" t="s">
        <v>448</v>
      </c>
      <c r="G603" s="77" t="s">
        <v>27</v>
      </c>
      <c r="H603" s="77"/>
    </row>
    <row r="604" spans="1:8" x14ac:dyDescent="0.3">
      <c r="A604" t="s">
        <v>690</v>
      </c>
      <c r="B604" s="77" t="s">
        <v>43</v>
      </c>
      <c r="C604" s="77" t="s">
        <v>29</v>
      </c>
      <c r="D604" s="77" t="s">
        <v>693</v>
      </c>
      <c r="E604" s="77" t="s">
        <v>623</v>
      </c>
      <c r="F604" s="77" t="s">
        <v>618</v>
      </c>
      <c r="G604" s="77" t="s">
        <v>27</v>
      </c>
      <c r="H604" s="77"/>
    </row>
    <row r="605" spans="1:8" x14ac:dyDescent="0.3">
      <c r="A605" t="s">
        <v>690</v>
      </c>
      <c r="B605" s="77" t="s">
        <v>47</v>
      </c>
      <c r="C605" s="77" t="s">
        <v>29</v>
      </c>
      <c r="D605" s="77" t="s">
        <v>675</v>
      </c>
      <c r="E605" s="77" t="s">
        <v>220</v>
      </c>
      <c r="F605" s="77" t="s">
        <v>498</v>
      </c>
      <c r="G605" s="77" t="s">
        <v>27</v>
      </c>
      <c r="H605" s="77"/>
    </row>
    <row r="606" spans="1:8" x14ac:dyDescent="0.3">
      <c r="A606" t="s">
        <v>690</v>
      </c>
      <c r="B606" s="77" t="s">
        <v>52</v>
      </c>
      <c r="C606" s="77" t="s">
        <v>29</v>
      </c>
      <c r="D606" s="77" t="s">
        <v>694</v>
      </c>
      <c r="E606" s="77" t="s">
        <v>243</v>
      </c>
      <c r="F606" s="77" t="s">
        <v>521</v>
      </c>
      <c r="G606" s="77" t="s">
        <v>27</v>
      </c>
      <c r="H606" s="77"/>
    </row>
    <row r="607" spans="1:8" x14ac:dyDescent="0.3">
      <c r="A607" t="s">
        <v>690</v>
      </c>
      <c r="B607" s="77" t="s">
        <v>57</v>
      </c>
      <c r="C607" s="77" t="s">
        <v>29</v>
      </c>
      <c r="D607" s="77" t="s">
        <v>695</v>
      </c>
      <c r="E607" s="77" t="s">
        <v>546</v>
      </c>
      <c r="F607" s="77" t="s">
        <v>267</v>
      </c>
      <c r="G607" s="77" t="s">
        <v>27</v>
      </c>
      <c r="H607" s="77"/>
    </row>
    <row r="608" spans="1:8" x14ac:dyDescent="0.3">
      <c r="A608" t="s">
        <v>690</v>
      </c>
      <c r="B608" s="77" t="s">
        <v>62</v>
      </c>
      <c r="C608" s="77" t="s">
        <v>29</v>
      </c>
      <c r="D608" s="77" t="s">
        <v>688</v>
      </c>
      <c r="E608" s="77" t="s">
        <v>623</v>
      </c>
      <c r="F608" s="77" t="s">
        <v>440</v>
      </c>
      <c r="G608" s="77" t="s">
        <v>27</v>
      </c>
      <c r="H608" s="77"/>
    </row>
    <row r="609" spans="1:8" x14ac:dyDescent="0.3">
      <c r="A609" t="s">
        <v>690</v>
      </c>
      <c r="B609" s="77" t="s">
        <v>66</v>
      </c>
      <c r="C609" s="77" t="s">
        <v>29</v>
      </c>
      <c r="D609" s="77" t="s">
        <v>696</v>
      </c>
      <c r="E609" s="77" t="s">
        <v>620</v>
      </c>
      <c r="F609" s="77" t="s">
        <v>498</v>
      </c>
      <c r="G609" s="77" t="s">
        <v>27</v>
      </c>
      <c r="H609" s="77"/>
    </row>
    <row r="610" spans="1:8" x14ac:dyDescent="0.3">
      <c r="A610" t="s">
        <v>690</v>
      </c>
      <c r="B610" s="77" t="s">
        <v>70</v>
      </c>
      <c r="C610" s="77" t="s">
        <v>29</v>
      </c>
      <c r="D610" s="77" t="s">
        <v>697</v>
      </c>
      <c r="E610" s="77" t="s">
        <v>698</v>
      </c>
      <c r="F610" s="77" t="s">
        <v>431</v>
      </c>
      <c r="G610" s="77" t="s">
        <v>27</v>
      </c>
      <c r="H610" s="77"/>
    </row>
    <row r="611" spans="1:8" x14ac:dyDescent="0.3">
      <c r="A611" t="s">
        <v>690</v>
      </c>
      <c r="B611" s="77" t="s">
        <v>75</v>
      </c>
      <c r="C611" s="77" t="s">
        <v>29</v>
      </c>
      <c r="D611" s="77" t="s">
        <v>628</v>
      </c>
      <c r="E611" s="77" t="s">
        <v>573</v>
      </c>
      <c r="F611" s="77" t="s">
        <v>485</v>
      </c>
      <c r="G611" s="77" t="s">
        <v>27</v>
      </c>
      <c r="H611" s="77"/>
    </row>
    <row r="612" spans="1:8" x14ac:dyDescent="0.3">
      <c r="A612" t="s">
        <v>690</v>
      </c>
      <c r="B612" s="77" t="s">
        <v>79</v>
      </c>
      <c r="C612" s="77" t="s">
        <v>29</v>
      </c>
      <c r="D612" s="77" t="s">
        <v>256</v>
      </c>
      <c r="E612" s="77" t="s">
        <v>547</v>
      </c>
      <c r="F612" s="77" t="s">
        <v>241</v>
      </c>
      <c r="G612" s="77" t="s">
        <v>27</v>
      </c>
      <c r="H612" s="77"/>
    </row>
    <row r="613" spans="1:8" x14ac:dyDescent="0.3">
      <c r="A613" t="s">
        <v>690</v>
      </c>
      <c r="B613" s="77" t="s">
        <v>83</v>
      </c>
      <c r="C613" s="77" t="s">
        <v>29</v>
      </c>
      <c r="D613" s="77" t="s">
        <v>699</v>
      </c>
      <c r="E613" s="77" t="s">
        <v>700</v>
      </c>
      <c r="F613" s="77" t="s">
        <v>601</v>
      </c>
      <c r="G613" s="77" t="s">
        <v>27</v>
      </c>
      <c r="H613" s="77"/>
    </row>
    <row r="614" spans="1:8" x14ac:dyDescent="0.3">
      <c r="A614" t="s">
        <v>690</v>
      </c>
      <c r="B614" s="77" t="s">
        <v>88</v>
      </c>
      <c r="C614" s="77" t="s">
        <v>29</v>
      </c>
      <c r="D614" s="77" t="s">
        <v>244</v>
      </c>
      <c r="E614" s="77" t="s">
        <v>701</v>
      </c>
      <c r="F614" s="77" t="s">
        <v>429</v>
      </c>
      <c r="G614" s="77" t="s">
        <v>27</v>
      </c>
      <c r="H614" s="77"/>
    </row>
    <row r="615" spans="1:8" x14ac:dyDescent="0.3">
      <c r="A615" t="s">
        <v>690</v>
      </c>
      <c r="B615" s="77" t="s">
        <v>92</v>
      </c>
      <c r="C615" s="77" t="s">
        <v>29</v>
      </c>
      <c r="D615" s="77" t="s">
        <v>702</v>
      </c>
      <c r="E615" s="77" t="s">
        <v>575</v>
      </c>
      <c r="F615" s="77" t="s">
        <v>562</v>
      </c>
      <c r="G615" s="77" t="s">
        <v>74</v>
      </c>
      <c r="H615" s="77"/>
    </row>
    <row r="616" spans="1:8" x14ac:dyDescent="0.3">
      <c r="A616" t="s">
        <v>690</v>
      </c>
      <c r="B616" s="77" t="s">
        <v>96</v>
      </c>
      <c r="C616" s="77" t="s">
        <v>29</v>
      </c>
      <c r="D616" s="77" t="s">
        <v>703</v>
      </c>
      <c r="E616" s="77" t="s">
        <v>704</v>
      </c>
      <c r="F616" s="77" t="s">
        <v>515</v>
      </c>
      <c r="G616" s="77" t="s">
        <v>27</v>
      </c>
      <c r="H616" s="77"/>
    </row>
    <row r="617" spans="1:8" x14ac:dyDescent="0.3">
      <c r="A617" t="s">
        <v>690</v>
      </c>
      <c r="B617" s="77" t="s">
        <v>100</v>
      </c>
      <c r="C617" s="77" t="s">
        <v>29</v>
      </c>
      <c r="D617" s="77" t="s">
        <v>705</v>
      </c>
      <c r="E617" s="77" t="s">
        <v>605</v>
      </c>
      <c r="F617" s="77" t="s">
        <v>277</v>
      </c>
      <c r="G617" s="77" t="s">
        <v>27</v>
      </c>
      <c r="H617" s="77"/>
    </row>
    <row r="618" spans="1:8" x14ac:dyDescent="0.3">
      <c r="A618" t="s">
        <v>690</v>
      </c>
      <c r="B618" s="77" t="s">
        <v>104</v>
      </c>
      <c r="C618" s="77" t="s">
        <v>29</v>
      </c>
      <c r="D618" s="77" t="s">
        <v>706</v>
      </c>
      <c r="E618" s="77" t="s">
        <v>664</v>
      </c>
      <c r="F618" s="77" t="s">
        <v>649</v>
      </c>
      <c r="G618" s="77" t="s">
        <v>27</v>
      </c>
      <c r="H618" s="77"/>
    </row>
    <row r="619" spans="1:8" x14ac:dyDescent="0.3">
      <c r="A619" t="s">
        <v>690</v>
      </c>
      <c r="B619" s="77" t="s">
        <v>108</v>
      </c>
      <c r="C619" s="77" t="s">
        <v>29</v>
      </c>
      <c r="D619" s="77" t="s">
        <v>707</v>
      </c>
      <c r="E619" s="77" t="s">
        <v>586</v>
      </c>
      <c r="F619" s="77" t="s">
        <v>598</v>
      </c>
      <c r="G619" s="77" t="s">
        <v>27</v>
      </c>
      <c r="H619" s="77"/>
    </row>
    <row r="620" spans="1:8" x14ac:dyDescent="0.3">
      <c r="A620" t="s">
        <v>690</v>
      </c>
      <c r="B620" s="77" t="s">
        <v>112</v>
      </c>
      <c r="C620" s="77" t="s">
        <v>29</v>
      </c>
      <c r="D620" s="77" t="s">
        <v>708</v>
      </c>
      <c r="E620" s="77" t="s">
        <v>709</v>
      </c>
      <c r="F620" s="77" t="s">
        <v>570</v>
      </c>
      <c r="G620" s="77" t="s">
        <v>27</v>
      </c>
      <c r="H620" s="77"/>
    </row>
    <row r="621" spans="1:8" x14ac:dyDescent="0.3">
      <c r="A621" t="s">
        <v>690</v>
      </c>
      <c r="B621" s="77" t="s">
        <v>116</v>
      </c>
      <c r="C621" s="77" t="s">
        <v>29</v>
      </c>
      <c r="D621" s="77" t="s">
        <v>710</v>
      </c>
      <c r="E621" s="77" t="s">
        <v>711</v>
      </c>
      <c r="F621" s="77" t="s">
        <v>270</v>
      </c>
      <c r="G621" s="77" t="s">
        <v>74</v>
      </c>
      <c r="H621" s="77"/>
    </row>
    <row r="622" spans="1:8" x14ac:dyDescent="0.3">
      <c r="A622" t="s">
        <v>690</v>
      </c>
      <c r="B622" s="77" t="s">
        <v>121</v>
      </c>
      <c r="C622" s="77" t="s">
        <v>29</v>
      </c>
      <c r="D622" s="77" t="s">
        <v>712</v>
      </c>
      <c r="E622" s="77" t="s">
        <v>650</v>
      </c>
      <c r="F622" s="77" t="s">
        <v>484</v>
      </c>
      <c r="G622" s="77" t="s">
        <v>74</v>
      </c>
      <c r="H622" s="77"/>
    </row>
    <row r="623" spans="1:8" x14ac:dyDescent="0.3">
      <c r="A623" t="s">
        <v>690</v>
      </c>
      <c r="B623" s="77" t="s">
        <v>125</v>
      </c>
      <c r="C623" s="77" t="s">
        <v>29</v>
      </c>
      <c r="D623" s="77" t="s">
        <v>713</v>
      </c>
      <c r="E623" s="77" t="s">
        <v>714</v>
      </c>
      <c r="F623" s="77" t="s">
        <v>588</v>
      </c>
      <c r="G623" s="77" t="s">
        <v>27</v>
      </c>
      <c r="H623" s="77"/>
    </row>
    <row r="624" spans="1:8" x14ac:dyDescent="0.3">
      <c r="A624" t="s">
        <v>690</v>
      </c>
      <c r="B624" s="77" t="s">
        <v>129</v>
      </c>
      <c r="C624" s="77" t="s">
        <v>29</v>
      </c>
      <c r="D624" s="77" t="s">
        <v>715</v>
      </c>
      <c r="E624" s="77" t="s">
        <v>716</v>
      </c>
      <c r="F624" s="77" t="s">
        <v>225</v>
      </c>
      <c r="G624" s="77" t="s">
        <v>27</v>
      </c>
      <c r="H624" s="77"/>
    </row>
    <row r="625" spans="1:8" x14ac:dyDescent="0.3">
      <c r="A625" t="s">
        <v>690</v>
      </c>
      <c r="B625" s="77" t="s">
        <v>134</v>
      </c>
      <c r="C625" s="77" t="s">
        <v>29</v>
      </c>
      <c r="D625" s="77" t="s">
        <v>717</v>
      </c>
      <c r="E625" s="77" t="s">
        <v>718</v>
      </c>
      <c r="F625" s="77" t="s">
        <v>719</v>
      </c>
      <c r="G625" s="77" t="s">
        <v>27</v>
      </c>
      <c r="H625" s="77"/>
    </row>
    <row r="626" spans="1:8" x14ac:dyDescent="0.3">
      <c r="A626" t="s">
        <v>690</v>
      </c>
      <c r="B626" s="77" t="s">
        <v>138</v>
      </c>
      <c r="C626" s="77" t="s">
        <v>29</v>
      </c>
      <c r="D626" s="77" t="s">
        <v>682</v>
      </c>
      <c r="E626" s="77" t="s">
        <v>720</v>
      </c>
      <c r="F626" s="77" t="s">
        <v>667</v>
      </c>
      <c r="G626" s="77" t="s">
        <v>27</v>
      </c>
      <c r="H626" s="77"/>
    </row>
    <row r="627" spans="1:8" x14ac:dyDescent="0.3">
      <c r="A627" t="s">
        <v>690</v>
      </c>
      <c r="B627" s="77" t="s">
        <v>142</v>
      </c>
      <c r="C627" s="77" t="s">
        <v>29</v>
      </c>
      <c r="D627" s="77" t="s">
        <v>721</v>
      </c>
      <c r="E627" s="77" t="s">
        <v>534</v>
      </c>
      <c r="F627" s="77" t="s">
        <v>580</v>
      </c>
      <c r="G627" s="77" t="s">
        <v>27</v>
      </c>
      <c r="H627" s="77"/>
    </row>
    <row r="628" spans="1:8" x14ac:dyDescent="0.3">
      <c r="A628" t="s">
        <v>690</v>
      </c>
      <c r="B628" s="77" t="s">
        <v>147</v>
      </c>
      <c r="C628" s="77" t="s">
        <v>29</v>
      </c>
      <c r="D628" s="77" t="s">
        <v>722</v>
      </c>
      <c r="E628" s="77" t="s">
        <v>723</v>
      </c>
      <c r="F628" s="77" t="s">
        <v>538</v>
      </c>
      <c r="G628" s="77" t="s">
        <v>27</v>
      </c>
      <c r="H628" s="77"/>
    </row>
    <row r="629" spans="1:8" x14ac:dyDescent="0.3">
      <c r="A629" t="s">
        <v>690</v>
      </c>
      <c r="B629" s="77" t="s">
        <v>151</v>
      </c>
      <c r="C629" s="77" t="s">
        <v>29</v>
      </c>
      <c r="D629" s="77" t="s">
        <v>724</v>
      </c>
      <c r="E629" s="77" t="s">
        <v>725</v>
      </c>
      <c r="F629" s="77" t="s">
        <v>726</v>
      </c>
      <c r="G629" s="77" t="s">
        <v>27</v>
      </c>
      <c r="H629" s="77"/>
    </row>
    <row r="630" spans="1:8" x14ac:dyDescent="0.3">
      <c r="A630" t="s">
        <v>690</v>
      </c>
      <c r="B630" s="77" t="s">
        <v>155</v>
      </c>
      <c r="C630" s="77" t="s">
        <v>29</v>
      </c>
      <c r="D630" s="77" t="s">
        <v>727</v>
      </c>
      <c r="E630" s="77" t="s">
        <v>728</v>
      </c>
      <c r="F630" s="77" t="s">
        <v>605</v>
      </c>
      <c r="G630" s="77" t="s">
        <v>27</v>
      </c>
      <c r="H630" s="77"/>
    </row>
    <row r="631" spans="1:8" x14ac:dyDescent="0.3">
      <c r="A631" t="s">
        <v>690</v>
      </c>
      <c r="B631" s="77" t="s">
        <v>159</v>
      </c>
      <c r="C631" s="77" t="s">
        <v>29</v>
      </c>
      <c r="D631" s="77" t="s">
        <v>729</v>
      </c>
      <c r="E631" s="77" t="s">
        <v>730</v>
      </c>
      <c r="F631" s="77" t="s">
        <v>599</v>
      </c>
      <c r="G631" s="77" t="s">
        <v>27</v>
      </c>
      <c r="H631" s="77"/>
    </row>
    <row r="632" spans="1:8" x14ac:dyDescent="0.3">
      <c r="A632" t="s">
        <v>690</v>
      </c>
      <c r="B632" s="77" t="s">
        <v>163</v>
      </c>
      <c r="C632" s="77" t="s">
        <v>29</v>
      </c>
      <c r="D632" s="77" t="s">
        <v>731</v>
      </c>
      <c r="E632" s="77" t="s">
        <v>732</v>
      </c>
      <c r="F632" s="77" t="s">
        <v>733</v>
      </c>
      <c r="G632" s="77" t="s">
        <v>27</v>
      </c>
      <c r="H632" s="77"/>
    </row>
    <row r="633" spans="1:8" x14ac:dyDescent="0.3">
      <c r="A633" t="s">
        <v>690</v>
      </c>
      <c r="B633" s="77" t="s">
        <v>166</v>
      </c>
      <c r="C633" s="77" t="s">
        <v>29</v>
      </c>
      <c r="D633" s="77" t="s">
        <v>734</v>
      </c>
      <c r="E633" s="77" t="s">
        <v>735</v>
      </c>
      <c r="F633" s="77" t="s">
        <v>736</v>
      </c>
      <c r="G633" s="77" t="s">
        <v>27</v>
      </c>
      <c r="H633" s="77"/>
    </row>
    <row r="634" spans="1:8" x14ac:dyDescent="0.3">
      <c r="A634" t="s">
        <v>690</v>
      </c>
      <c r="B634" s="77" t="s">
        <v>170</v>
      </c>
      <c r="C634" s="77" t="s">
        <v>29</v>
      </c>
      <c r="D634" s="77" t="s">
        <v>737</v>
      </c>
      <c r="E634" s="77" t="s">
        <v>738</v>
      </c>
      <c r="F634" s="77" t="s">
        <v>222</v>
      </c>
      <c r="G634" s="77" t="s">
        <v>27</v>
      </c>
      <c r="H634" s="77"/>
    </row>
    <row r="635" spans="1:8" x14ac:dyDescent="0.3">
      <c r="A635" t="s">
        <v>690</v>
      </c>
      <c r="B635" s="77" t="s">
        <v>175</v>
      </c>
      <c r="C635" s="77" t="s">
        <v>29</v>
      </c>
      <c r="D635" s="77" t="s">
        <v>739</v>
      </c>
      <c r="E635" s="77" t="s">
        <v>740</v>
      </c>
      <c r="F635" s="77" t="s">
        <v>268</v>
      </c>
      <c r="G635" s="77" t="s">
        <v>27</v>
      </c>
      <c r="H635" s="77"/>
    </row>
    <row r="636" spans="1:8" x14ac:dyDescent="0.3">
      <c r="A636" t="s">
        <v>690</v>
      </c>
      <c r="B636" s="77" t="s">
        <v>179</v>
      </c>
      <c r="C636" s="77" t="s">
        <v>29</v>
      </c>
      <c r="D636" s="77" t="s">
        <v>741</v>
      </c>
      <c r="E636" s="77" t="s">
        <v>201</v>
      </c>
      <c r="F636" s="77" t="s">
        <v>742</v>
      </c>
      <c r="G636" s="77" t="s">
        <v>27</v>
      </c>
      <c r="H636" s="77"/>
    </row>
    <row r="637" spans="1:8" x14ac:dyDescent="0.3">
      <c r="A637" t="s">
        <v>743</v>
      </c>
      <c r="B637" s="77" t="s">
        <v>33</v>
      </c>
      <c r="C637" s="77" t="s">
        <v>29</v>
      </c>
      <c r="D637" s="77" t="s">
        <v>683</v>
      </c>
      <c r="E637" s="77" t="s">
        <v>556</v>
      </c>
      <c r="F637" s="77" t="s">
        <v>452</v>
      </c>
      <c r="G637" s="77" t="s">
        <v>27</v>
      </c>
      <c r="H637" s="77"/>
    </row>
    <row r="638" spans="1:8" x14ac:dyDescent="0.3">
      <c r="A638" t="s">
        <v>743</v>
      </c>
      <c r="B638" s="77" t="s">
        <v>38</v>
      </c>
      <c r="C638" s="77" t="s">
        <v>29</v>
      </c>
      <c r="D638" s="77" t="s">
        <v>611</v>
      </c>
      <c r="E638" s="77" t="s">
        <v>486</v>
      </c>
      <c r="F638" s="77" t="s">
        <v>271</v>
      </c>
      <c r="G638" s="77" t="s">
        <v>27</v>
      </c>
      <c r="H638" s="77"/>
    </row>
    <row r="639" spans="1:8" x14ac:dyDescent="0.3">
      <c r="A639" t="s">
        <v>743</v>
      </c>
      <c r="B639" s="77" t="s">
        <v>43</v>
      </c>
      <c r="C639" s="77" t="s">
        <v>29</v>
      </c>
      <c r="D639" s="77" t="s">
        <v>744</v>
      </c>
      <c r="E639" s="77" t="s">
        <v>228</v>
      </c>
      <c r="F639" s="77" t="s">
        <v>480</v>
      </c>
      <c r="G639" s="77" t="s">
        <v>27</v>
      </c>
      <c r="H639" s="77"/>
    </row>
    <row r="640" spans="1:8" x14ac:dyDescent="0.3">
      <c r="A640" t="s">
        <v>743</v>
      </c>
      <c r="B640" s="77" t="s">
        <v>47</v>
      </c>
      <c r="C640" s="77" t="s">
        <v>29</v>
      </c>
      <c r="D640" s="77" t="s">
        <v>242</v>
      </c>
      <c r="E640" s="77" t="s">
        <v>577</v>
      </c>
      <c r="F640" s="77" t="s">
        <v>656</v>
      </c>
      <c r="G640" s="77" t="s">
        <v>27</v>
      </c>
      <c r="H640" s="77"/>
    </row>
    <row r="641" spans="1:8" x14ac:dyDescent="0.3">
      <c r="A641" t="s">
        <v>743</v>
      </c>
      <c r="B641" s="77" t="s">
        <v>52</v>
      </c>
      <c r="C641" s="77" t="s">
        <v>29</v>
      </c>
      <c r="D641" s="77" t="s">
        <v>745</v>
      </c>
      <c r="E641" s="77" t="s">
        <v>531</v>
      </c>
      <c r="F641" s="77" t="s">
        <v>532</v>
      </c>
      <c r="G641" s="77" t="s">
        <v>74</v>
      </c>
      <c r="H641" s="77"/>
    </row>
    <row r="642" spans="1:8" x14ac:dyDescent="0.3">
      <c r="A642" t="s">
        <v>743</v>
      </c>
      <c r="B642" s="77" t="s">
        <v>57</v>
      </c>
      <c r="C642" s="77" t="s">
        <v>29</v>
      </c>
      <c r="D642" s="77" t="s">
        <v>663</v>
      </c>
      <c r="E642" s="77" t="s">
        <v>538</v>
      </c>
      <c r="F642" s="77" t="s">
        <v>255</v>
      </c>
      <c r="G642" s="77" t="s">
        <v>27</v>
      </c>
      <c r="H642" s="77"/>
    </row>
    <row r="643" spans="1:8" x14ac:dyDescent="0.3">
      <c r="A643" t="s">
        <v>743</v>
      </c>
      <c r="B643" s="77" t="s">
        <v>62</v>
      </c>
      <c r="C643" s="77" t="s">
        <v>29</v>
      </c>
      <c r="D643" s="77" t="s">
        <v>746</v>
      </c>
      <c r="E643" s="77" t="s">
        <v>620</v>
      </c>
      <c r="F643" s="77" t="s">
        <v>516</v>
      </c>
      <c r="G643" s="77" t="s">
        <v>27</v>
      </c>
      <c r="H643" s="77"/>
    </row>
    <row r="644" spans="1:8" x14ac:dyDescent="0.3">
      <c r="A644" t="s">
        <v>743</v>
      </c>
      <c r="B644" s="77" t="s">
        <v>66</v>
      </c>
      <c r="C644" s="77" t="s">
        <v>29</v>
      </c>
      <c r="D644" s="77" t="s">
        <v>747</v>
      </c>
      <c r="E644" s="77" t="s">
        <v>748</v>
      </c>
      <c r="F644" s="77" t="s">
        <v>749</v>
      </c>
      <c r="G644" s="77" t="s">
        <v>27</v>
      </c>
      <c r="H644" s="77"/>
    </row>
    <row r="645" spans="1:8" x14ac:dyDescent="0.3">
      <c r="A645" t="s">
        <v>743</v>
      </c>
      <c r="B645" s="77" t="s">
        <v>70</v>
      </c>
      <c r="C645" s="77" t="s">
        <v>29</v>
      </c>
      <c r="D645" s="77" t="s">
        <v>247</v>
      </c>
      <c r="E645" s="77" t="s">
        <v>750</v>
      </c>
      <c r="F645" s="77" t="s">
        <v>297</v>
      </c>
      <c r="G645" s="77" t="s">
        <v>27</v>
      </c>
      <c r="H645" s="77"/>
    </row>
    <row r="646" spans="1:8" x14ac:dyDescent="0.3">
      <c r="A646" t="s">
        <v>743</v>
      </c>
      <c r="B646" s="77" t="s">
        <v>75</v>
      </c>
      <c r="C646" s="77" t="s">
        <v>29</v>
      </c>
      <c r="D646" s="77" t="s">
        <v>746</v>
      </c>
      <c r="E646" s="77" t="s">
        <v>576</v>
      </c>
      <c r="F646" s="77" t="s">
        <v>252</v>
      </c>
      <c r="G646" s="77" t="s">
        <v>27</v>
      </c>
      <c r="H646" s="77"/>
    </row>
    <row r="647" spans="1:8" x14ac:dyDescent="0.3">
      <c r="A647" t="s">
        <v>743</v>
      </c>
      <c r="B647" s="77" t="s">
        <v>79</v>
      </c>
      <c r="C647" s="77" t="s">
        <v>29</v>
      </c>
      <c r="D647" s="77" t="s">
        <v>751</v>
      </c>
      <c r="E647" s="77" t="s">
        <v>700</v>
      </c>
      <c r="F647" s="77" t="s">
        <v>752</v>
      </c>
      <c r="G647" s="77" t="s">
        <v>27</v>
      </c>
      <c r="H647" s="77"/>
    </row>
    <row r="648" spans="1:8" x14ac:dyDescent="0.3">
      <c r="A648" t="s">
        <v>743</v>
      </c>
      <c r="B648" s="77" t="s">
        <v>83</v>
      </c>
      <c r="C648" s="77" t="s">
        <v>29</v>
      </c>
      <c r="D648" s="77" t="s">
        <v>703</v>
      </c>
      <c r="E648" s="77" t="s">
        <v>605</v>
      </c>
      <c r="F648" s="77" t="s">
        <v>266</v>
      </c>
      <c r="G648" s="77" t="s">
        <v>27</v>
      </c>
      <c r="H648" s="77"/>
    </row>
    <row r="649" spans="1:8" x14ac:dyDescent="0.3">
      <c r="A649" t="s">
        <v>743</v>
      </c>
      <c r="B649" s="77" t="s">
        <v>88</v>
      </c>
      <c r="C649" s="77" t="s">
        <v>29</v>
      </c>
      <c r="D649" s="77" t="s">
        <v>753</v>
      </c>
      <c r="E649" s="77" t="s">
        <v>585</v>
      </c>
      <c r="F649" s="77" t="s">
        <v>234</v>
      </c>
      <c r="G649" s="77" t="s">
        <v>27</v>
      </c>
      <c r="H649" s="77"/>
    </row>
    <row r="650" spans="1:8" x14ac:dyDescent="0.3">
      <c r="A650" t="s">
        <v>743</v>
      </c>
      <c r="B650" s="77" t="s">
        <v>92</v>
      </c>
      <c r="C650" s="77" t="s">
        <v>29</v>
      </c>
      <c r="D650" s="77" t="s">
        <v>754</v>
      </c>
      <c r="E650" s="77" t="s">
        <v>563</v>
      </c>
      <c r="F650" s="77" t="s">
        <v>649</v>
      </c>
      <c r="G650" s="77" t="s">
        <v>27</v>
      </c>
      <c r="H650" s="77"/>
    </row>
    <row r="651" spans="1:8" x14ac:dyDescent="0.3">
      <c r="A651" t="s">
        <v>743</v>
      </c>
      <c r="B651" s="77" t="s">
        <v>96</v>
      </c>
      <c r="C651" s="77" t="s">
        <v>29</v>
      </c>
      <c r="D651" s="77" t="s">
        <v>755</v>
      </c>
      <c r="E651" s="77" t="s">
        <v>602</v>
      </c>
      <c r="F651" s="77" t="s">
        <v>270</v>
      </c>
      <c r="G651" s="77" t="s">
        <v>27</v>
      </c>
      <c r="H651" s="77"/>
    </row>
    <row r="652" spans="1:8" x14ac:dyDescent="0.3">
      <c r="A652" t="s">
        <v>743</v>
      </c>
      <c r="B652" s="77" t="s">
        <v>100</v>
      </c>
      <c r="C652" s="77" t="s">
        <v>29</v>
      </c>
      <c r="D652" s="77" t="s">
        <v>756</v>
      </c>
      <c r="E652" s="77" t="s">
        <v>566</v>
      </c>
      <c r="F652" s="77" t="s">
        <v>540</v>
      </c>
      <c r="G652" s="77" t="s">
        <v>27</v>
      </c>
      <c r="H652" s="77"/>
    </row>
    <row r="653" spans="1:8" x14ac:dyDescent="0.3">
      <c r="A653" t="s">
        <v>743</v>
      </c>
      <c r="B653" s="77" t="s">
        <v>104</v>
      </c>
      <c r="C653" s="77" t="s">
        <v>29</v>
      </c>
      <c r="D653" s="77" t="s">
        <v>757</v>
      </c>
      <c r="E653" s="77" t="s">
        <v>716</v>
      </c>
      <c r="F653" s="77" t="s">
        <v>598</v>
      </c>
      <c r="G653" s="77" t="s">
        <v>27</v>
      </c>
      <c r="H653" s="77"/>
    </row>
    <row r="654" spans="1:8" x14ac:dyDescent="0.3">
      <c r="A654" t="s">
        <v>743</v>
      </c>
      <c r="B654" s="77" t="s">
        <v>108</v>
      </c>
      <c r="C654" s="77" t="s">
        <v>29</v>
      </c>
      <c r="D654" s="77" t="s">
        <v>758</v>
      </c>
      <c r="E654" s="77" t="s">
        <v>742</v>
      </c>
      <c r="F654" s="77" t="s">
        <v>543</v>
      </c>
      <c r="G654" s="77" t="s">
        <v>27</v>
      </c>
      <c r="H654" s="77"/>
    </row>
    <row r="655" spans="1:8" x14ac:dyDescent="0.3">
      <c r="A655" t="s">
        <v>743</v>
      </c>
      <c r="B655" s="77" t="s">
        <v>112</v>
      </c>
      <c r="C655" s="77" t="s">
        <v>29</v>
      </c>
      <c r="D655" s="77" t="s">
        <v>759</v>
      </c>
      <c r="E655" s="77" t="s">
        <v>760</v>
      </c>
      <c r="F655" s="77" t="s">
        <v>761</v>
      </c>
      <c r="G655" s="77" t="s">
        <v>27</v>
      </c>
      <c r="H655" s="77"/>
    </row>
    <row r="656" spans="1:8" x14ac:dyDescent="0.3">
      <c r="A656" t="s">
        <v>743</v>
      </c>
      <c r="B656" s="77" t="s">
        <v>116</v>
      </c>
      <c r="C656" s="77" t="s">
        <v>29</v>
      </c>
      <c r="D656" s="77" t="s">
        <v>762</v>
      </c>
      <c r="E656" s="77" t="s">
        <v>744</v>
      </c>
      <c r="F656" s="77" t="s">
        <v>231</v>
      </c>
      <c r="G656" s="77" t="s">
        <v>27</v>
      </c>
      <c r="H656" s="77"/>
    </row>
    <row r="657" spans="1:8" x14ac:dyDescent="0.3">
      <c r="A657" t="s">
        <v>743</v>
      </c>
      <c r="B657" s="77" t="s">
        <v>121</v>
      </c>
      <c r="C657" s="77" t="s">
        <v>29</v>
      </c>
      <c r="D657" s="77" t="s">
        <v>721</v>
      </c>
      <c r="E657" s="77" t="s">
        <v>763</v>
      </c>
      <c r="F657" s="77" t="s">
        <v>273</v>
      </c>
      <c r="G657" s="77" t="s">
        <v>27</v>
      </c>
      <c r="H657" s="77"/>
    </row>
    <row r="658" spans="1:8" x14ac:dyDescent="0.3">
      <c r="A658" t="s">
        <v>743</v>
      </c>
      <c r="B658" s="77" t="s">
        <v>125</v>
      </c>
      <c r="C658" s="77" t="s">
        <v>29</v>
      </c>
      <c r="D658" s="77" t="s">
        <v>764</v>
      </c>
      <c r="E658" s="77" t="s">
        <v>760</v>
      </c>
      <c r="F658" s="77" t="s">
        <v>765</v>
      </c>
      <c r="G658" s="77" t="s">
        <v>27</v>
      </c>
      <c r="H658" s="77"/>
    </row>
    <row r="659" spans="1:8" x14ac:dyDescent="0.3">
      <c r="A659" t="s">
        <v>743</v>
      </c>
      <c r="B659" s="77" t="s">
        <v>129</v>
      </c>
      <c r="C659" s="77" t="s">
        <v>29</v>
      </c>
      <c r="D659" s="77" t="s">
        <v>766</v>
      </c>
      <c r="E659" s="77" t="s">
        <v>767</v>
      </c>
      <c r="F659" s="77" t="s">
        <v>279</v>
      </c>
      <c r="G659" s="77" t="s">
        <v>27</v>
      </c>
      <c r="H659" s="77"/>
    </row>
    <row r="660" spans="1:8" x14ac:dyDescent="0.3">
      <c r="A660" t="s">
        <v>743</v>
      </c>
      <c r="B660" s="77" t="s">
        <v>134</v>
      </c>
      <c r="C660" s="77" t="s">
        <v>29</v>
      </c>
      <c r="D660" s="77" t="s">
        <v>768</v>
      </c>
      <c r="E660" s="77" t="s">
        <v>769</v>
      </c>
      <c r="F660" s="77" t="s">
        <v>770</v>
      </c>
      <c r="G660" s="77" t="s">
        <v>27</v>
      </c>
      <c r="H660" s="77"/>
    </row>
    <row r="661" spans="1:8" x14ac:dyDescent="0.3">
      <c r="A661" t="s">
        <v>743</v>
      </c>
      <c r="B661" s="77" t="s">
        <v>138</v>
      </c>
      <c r="C661" s="77" t="s">
        <v>29</v>
      </c>
      <c r="D661" s="77" t="s">
        <v>771</v>
      </c>
      <c r="E661" s="77" t="s">
        <v>772</v>
      </c>
      <c r="F661" s="77" t="s">
        <v>726</v>
      </c>
      <c r="G661" s="77" t="s">
        <v>27</v>
      </c>
      <c r="H661" s="77"/>
    </row>
    <row r="662" spans="1:8" x14ac:dyDescent="0.3">
      <c r="A662" t="s">
        <v>743</v>
      </c>
      <c r="B662" s="77" t="s">
        <v>142</v>
      </c>
      <c r="C662" s="77" t="s">
        <v>29</v>
      </c>
      <c r="D662" s="77" t="s">
        <v>773</v>
      </c>
      <c r="E662" s="77" t="s">
        <v>723</v>
      </c>
      <c r="F662" s="77" t="s">
        <v>273</v>
      </c>
      <c r="G662" s="77" t="s">
        <v>27</v>
      </c>
      <c r="H662" s="77"/>
    </row>
    <row r="663" spans="1:8" x14ac:dyDescent="0.3">
      <c r="A663" t="s">
        <v>743</v>
      </c>
      <c r="B663" s="77" t="s">
        <v>147</v>
      </c>
      <c r="C663" s="77" t="s">
        <v>29</v>
      </c>
      <c r="D663" s="77" t="s">
        <v>774</v>
      </c>
      <c r="E663" s="77" t="s">
        <v>775</v>
      </c>
      <c r="F663" s="77" t="s">
        <v>776</v>
      </c>
      <c r="G663" s="77" t="s">
        <v>27</v>
      </c>
      <c r="H663" s="77"/>
    </row>
    <row r="664" spans="1:8" x14ac:dyDescent="0.3">
      <c r="A664" t="s">
        <v>743</v>
      </c>
      <c r="B664" s="77" t="s">
        <v>151</v>
      </c>
      <c r="C664" s="77" t="s">
        <v>29</v>
      </c>
      <c r="D664" s="77" t="s">
        <v>777</v>
      </c>
      <c r="E664" s="77" t="s">
        <v>778</v>
      </c>
      <c r="F664" s="77" t="s">
        <v>779</v>
      </c>
      <c r="G664" s="77" t="s">
        <v>27</v>
      </c>
      <c r="H664" s="77"/>
    </row>
    <row r="665" spans="1:8" x14ac:dyDescent="0.3">
      <c r="A665" t="s">
        <v>743</v>
      </c>
      <c r="B665" s="77" t="s">
        <v>155</v>
      </c>
      <c r="C665" s="77" t="s">
        <v>29</v>
      </c>
      <c r="D665" s="77" t="s">
        <v>780</v>
      </c>
      <c r="E665" s="77" t="s">
        <v>670</v>
      </c>
      <c r="F665" s="77" t="s">
        <v>781</v>
      </c>
      <c r="G665" s="77" t="s">
        <v>27</v>
      </c>
      <c r="H665" s="77"/>
    </row>
    <row r="666" spans="1:8" x14ac:dyDescent="0.3">
      <c r="A666" t="s">
        <v>743</v>
      </c>
      <c r="B666" s="77" t="s">
        <v>159</v>
      </c>
      <c r="C666" s="77" t="s">
        <v>29</v>
      </c>
      <c r="D666" s="77" t="s">
        <v>782</v>
      </c>
      <c r="E666" s="77" t="s">
        <v>783</v>
      </c>
      <c r="F666" s="77" t="s">
        <v>621</v>
      </c>
      <c r="G666" s="77" t="s">
        <v>27</v>
      </c>
      <c r="H666" s="77"/>
    </row>
    <row r="667" spans="1:8" x14ac:dyDescent="0.3">
      <c r="A667" t="s">
        <v>743</v>
      </c>
      <c r="B667" s="77" t="s">
        <v>163</v>
      </c>
      <c r="C667" s="77" t="s">
        <v>29</v>
      </c>
      <c r="D667" s="77" t="s">
        <v>784</v>
      </c>
      <c r="E667" s="77" t="s">
        <v>785</v>
      </c>
      <c r="F667" s="77" t="s">
        <v>786</v>
      </c>
      <c r="G667" s="77" t="s">
        <v>27</v>
      </c>
      <c r="H667" s="77"/>
    </row>
    <row r="668" spans="1:8" x14ac:dyDescent="0.3">
      <c r="A668" t="s">
        <v>743</v>
      </c>
      <c r="B668" s="77" t="s">
        <v>166</v>
      </c>
      <c r="C668" s="77" t="s">
        <v>29</v>
      </c>
      <c r="D668" s="77" t="s">
        <v>787</v>
      </c>
      <c r="E668" s="77" t="s">
        <v>788</v>
      </c>
      <c r="F668" s="77" t="s">
        <v>789</v>
      </c>
      <c r="G668" s="77" t="s">
        <v>27</v>
      </c>
      <c r="H668" s="77"/>
    </row>
    <row r="669" spans="1:8" x14ac:dyDescent="0.3">
      <c r="A669" t="s">
        <v>743</v>
      </c>
      <c r="B669" s="77" t="s">
        <v>170</v>
      </c>
      <c r="C669" s="77" t="s">
        <v>29</v>
      </c>
      <c r="D669" s="77" t="s">
        <v>790</v>
      </c>
      <c r="E669" s="77" t="s">
        <v>791</v>
      </c>
      <c r="F669" s="77" t="s">
        <v>792</v>
      </c>
      <c r="G669" s="77" t="s">
        <v>27</v>
      </c>
      <c r="H669" s="77"/>
    </row>
    <row r="670" spans="1:8" x14ac:dyDescent="0.3">
      <c r="A670" t="s">
        <v>743</v>
      </c>
      <c r="B670" s="77" t="s">
        <v>175</v>
      </c>
      <c r="C670" s="77" t="s">
        <v>29</v>
      </c>
      <c r="D670" s="77" t="s">
        <v>793</v>
      </c>
      <c r="E670" s="77" t="s">
        <v>794</v>
      </c>
      <c r="F670" s="77" t="s">
        <v>795</v>
      </c>
      <c r="G670" s="77" t="s">
        <v>27</v>
      </c>
      <c r="H670" s="77"/>
    </row>
    <row r="671" spans="1:8" x14ac:dyDescent="0.3">
      <c r="A671" t="s">
        <v>743</v>
      </c>
      <c r="B671" s="77" t="s">
        <v>179</v>
      </c>
      <c r="C671" s="77" t="s">
        <v>29</v>
      </c>
      <c r="D671" s="77" t="s">
        <v>796</v>
      </c>
      <c r="E671" s="77" t="s">
        <v>797</v>
      </c>
      <c r="F671" s="77" t="s">
        <v>626</v>
      </c>
      <c r="G671" s="77" t="s">
        <v>27</v>
      </c>
      <c r="H671" s="77"/>
    </row>
    <row r="672" spans="1:8" x14ac:dyDescent="0.3">
      <c r="A672" t="s">
        <v>798</v>
      </c>
      <c r="B672" s="77" t="s">
        <v>33</v>
      </c>
      <c r="C672" s="77" t="s">
        <v>29</v>
      </c>
      <c r="D672" s="77" t="s">
        <v>242</v>
      </c>
      <c r="E672" s="77" t="s">
        <v>544</v>
      </c>
      <c r="F672" s="77" t="s">
        <v>497</v>
      </c>
      <c r="G672" s="77" t="s">
        <v>27</v>
      </c>
      <c r="H672" s="77"/>
    </row>
    <row r="673" spans="1:8" x14ac:dyDescent="0.3">
      <c r="A673" t="s">
        <v>798</v>
      </c>
      <c r="B673" s="77" t="s">
        <v>38</v>
      </c>
      <c r="C673" s="77" t="s">
        <v>29</v>
      </c>
      <c r="D673" s="77" t="s">
        <v>745</v>
      </c>
      <c r="E673" s="77" t="s">
        <v>270</v>
      </c>
      <c r="F673" s="77" t="s">
        <v>749</v>
      </c>
      <c r="G673" s="77" t="s">
        <v>27</v>
      </c>
      <c r="H673" s="77"/>
    </row>
    <row r="674" spans="1:8" x14ac:dyDescent="0.3">
      <c r="A674" t="s">
        <v>798</v>
      </c>
      <c r="B674" s="77" t="s">
        <v>43</v>
      </c>
      <c r="C674" s="77" t="s">
        <v>29</v>
      </c>
      <c r="D674" s="77" t="s">
        <v>799</v>
      </c>
      <c r="E674" s="77" t="s">
        <v>673</v>
      </c>
      <c r="F674" s="77" t="s">
        <v>478</v>
      </c>
      <c r="G674" s="77" t="s">
        <v>27</v>
      </c>
      <c r="H674" s="77"/>
    </row>
    <row r="675" spans="1:8" x14ac:dyDescent="0.3">
      <c r="A675" t="s">
        <v>798</v>
      </c>
      <c r="B675" s="77" t="s">
        <v>47</v>
      </c>
      <c r="C675" s="77" t="s">
        <v>29</v>
      </c>
      <c r="D675" s="77" t="s">
        <v>190</v>
      </c>
      <c r="E675" s="77" t="s">
        <v>800</v>
      </c>
      <c r="F675" s="77" t="s">
        <v>530</v>
      </c>
      <c r="G675" s="77" t="s">
        <v>27</v>
      </c>
      <c r="H675" s="77"/>
    </row>
    <row r="676" spans="1:8" x14ac:dyDescent="0.3">
      <c r="A676" t="s">
        <v>798</v>
      </c>
      <c r="B676" s="77" t="s">
        <v>52</v>
      </c>
      <c r="C676" s="77" t="s">
        <v>29</v>
      </c>
      <c r="D676" s="77" t="s">
        <v>801</v>
      </c>
      <c r="E676" s="77" t="s">
        <v>800</v>
      </c>
      <c r="F676" s="77" t="s">
        <v>234</v>
      </c>
      <c r="G676" s="77" t="s">
        <v>27</v>
      </c>
      <c r="H676" s="77"/>
    </row>
    <row r="677" spans="1:8" x14ac:dyDescent="0.3">
      <c r="A677" t="s">
        <v>798</v>
      </c>
      <c r="B677" s="77" t="s">
        <v>57</v>
      </c>
      <c r="C677" s="77" t="s">
        <v>29</v>
      </c>
      <c r="D677" s="77" t="s">
        <v>802</v>
      </c>
      <c r="E677" s="77" t="s">
        <v>803</v>
      </c>
      <c r="F677" s="77" t="s">
        <v>287</v>
      </c>
      <c r="G677" s="77" t="s">
        <v>27</v>
      </c>
      <c r="H677" s="77"/>
    </row>
    <row r="678" spans="1:8" x14ac:dyDescent="0.3">
      <c r="A678" t="s">
        <v>798</v>
      </c>
      <c r="B678" s="77" t="s">
        <v>62</v>
      </c>
      <c r="C678" s="77" t="s">
        <v>29</v>
      </c>
      <c r="D678" s="77" t="s">
        <v>804</v>
      </c>
      <c r="E678" s="77" t="s">
        <v>599</v>
      </c>
      <c r="F678" s="77" t="s">
        <v>658</v>
      </c>
      <c r="G678" s="77" t="s">
        <v>27</v>
      </c>
      <c r="H678" s="77"/>
    </row>
    <row r="679" spans="1:8" x14ac:dyDescent="0.3">
      <c r="A679" t="s">
        <v>798</v>
      </c>
      <c r="B679" s="77" t="s">
        <v>66</v>
      </c>
      <c r="C679" s="77" t="s">
        <v>29</v>
      </c>
      <c r="D679" s="77" t="s">
        <v>218</v>
      </c>
      <c r="E679" s="77" t="s">
        <v>608</v>
      </c>
      <c r="F679" s="77" t="s">
        <v>614</v>
      </c>
      <c r="G679" s="77" t="s">
        <v>27</v>
      </c>
      <c r="H679" s="77"/>
    </row>
    <row r="680" spans="1:8" x14ac:dyDescent="0.3">
      <c r="A680" t="s">
        <v>798</v>
      </c>
      <c r="B680" s="77" t="s">
        <v>70</v>
      </c>
      <c r="C680" s="77" t="s">
        <v>29</v>
      </c>
      <c r="D680" s="77" t="s">
        <v>805</v>
      </c>
      <c r="E680" s="77" t="s">
        <v>761</v>
      </c>
      <c r="F680" s="77" t="s">
        <v>240</v>
      </c>
      <c r="G680" s="77" t="s">
        <v>27</v>
      </c>
      <c r="H680" s="77"/>
    </row>
    <row r="681" spans="1:8" x14ac:dyDescent="0.3">
      <c r="A681" t="s">
        <v>798</v>
      </c>
      <c r="B681" s="77" t="s">
        <v>75</v>
      </c>
      <c r="C681" s="77" t="s">
        <v>29</v>
      </c>
      <c r="D681" s="77" t="s">
        <v>806</v>
      </c>
      <c r="E681" s="77" t="s">
        <v>214</v>
      </c>
      <c r="F681" s="77" t="s">
        <v>700</v>
      </c>
      <c r="G681" s="77" t="s">
        <v>27</v>
      </c>
      <c r="H681" s="77"/>
    </row>
    <row r="682" spans="1:8" x14ac:dyDescent="0.3">
      <c r="A682" t="s">
        <v>798</v>
      </c>
      <c r="B682" s="77" t="s">
        <v>79</v>
      </c>
      <c r="C682" s="77" t="s">
        <v>29</v>
      </c>
      <c r="D682" s="77" t="s">
        <v>753</v>
      </c>
      <c r="E682" s="77" t="s">
        <v>211</v>
      </c>
      <c r="F682" s="77" t="s">
        <v>598</v>
      </c>
      <c r="G682" s="77" t="s">
        <v>27</v>
      </c>
      <c r="H682" s="77"/>
    </row>
    <row r="683" spans="1:8" x14ac:dyDescent="0.3">
      <c r="A683" t="s">
        <v>798</v>
      </c>
      <c r="B683" s="77" t="s">
        <v>83</v>
      </c>
      <c r="C683" s="77" t="s">
        <v>29</v>
      </c>
      <c r="D683" s="77" t="s">
        <v>807</v>
      </c>
      <c r="E683" s="77" t="s">
        <v>606</v>
      </c>
      <c r="F683" s="77" t="s">
        <v>577</v>
      </c>
      <c r="G683" s="77" t="s">
        <v>27</v>
      </c>
      <c r="H683" s="77"/>
    </row>
    <row r="684" spans="1:8" x14ac:dyDescent="0.3">
      <c r="A684" t="s">
        <v>798</v>
      </c>
      <c r="B684" s="77" t="s">
        <v>88</v>
      </c>
      <c r="C684" s="77" t="s">
        <v>29</v>
      </c>
      <c r="D684" s="77" t="s">
        <v>808</v>
      </c>
      <c r="E684" s="77" t="s">
        <v>742</v>
      </c>
      <c r="F684" s="77" t="s">
        <v>588</v>
      </c>
      <c r="G684" s="77" t="s">
        <v>27</v>
      </c>
      <c r="H684" s="77"/>
    </row>
    <row r="685" spans="1:8" x14ac:dyDescent="0.3">
      <c r="A685" t="s">
        <v>798</v>
      </c>
      <c r="B685" s="77" t="s">
        <v>92</v>
      </c>
      <c r="C685" s="77" t="s">
        <v>29</v>
      </c>
      <c r="D685" s="77" t="s">
        <v>809</v>
      </c>
      <c r="E685" s="77" t="s">
        <v>213</v>
      </c>
      <c r="F685" s="77" t="s">
        <v>810</v>
      </c>
      <c r="G685" s="77" t="s">
        <v>27</v>
      </c>
      <c r="H685" s="77"/>
    </row>
    <row r="686" spans="1:8" x14ac:dyDescent="0.3">
      <c r="A686" t="s">
        <v>798</v>
      </c>
      <c r="B686" s="77" t="s">
        <v>96</v>
      </c>
      <c r="C686" s="77" t="s">
        <v>29</v>
      </c>
      <c r="D686" s="77" t="s">
        <v>764</v>
      </c>
      <c r="E686" s="77" t="s">
        <v>811</v>
      </c>
      <c r="F686" s="77" t="s">
        <v>658</v>
      </c>
      <c r="G686" s="77" t="s">
        <v>27</v>
      </c>
      <c r="H686" s="77"/>
    </row>
    <row r="687" spans="1:8" x14ac:dyDescent="0.3">
      <c r="A687" t="s">
        <v>798</v>
      </c>
      <c r="B687" s="77" t="s">
        <v>100</v>
      </c>
      <c r="C687" s="77" t="s">
        <v>29</v>
      </c>
      <c r="D687" s="77" t="s">
        <v>812</v>
      </c>
      <c r="E687" s="77" t="s">
        <v>604</v>
      </c>
      <c r="F687" s="77" t="s">
        <v>813</v>
      </c>
      <c r="G687" s="77" t="s">
        <v>27</v>
      </c>
      <c r="H687" s="77"/>
    </row>
    <row r="688" spans="1:8" x14ac:dyDescent="0.3">
      <c r="A688" t="s">
        <v>798</v>
      </c>
      <c r="B688" s="77" t="s">
        <v>104</v>
      </c>
      <c r="C688" s="77" t="s">
        <v>29</v>
      </c>
      <c r="D688" s="77" t="s">
        <v>814</v>
      </c>
      <c r="E688" s="77" t="s">
        <v>815</v>
      </c>
      <c r="F688" s="77" t="s">
        <v>600</v>
      </c>
      <c r="G688" s="77" t="s">
        <v>27</v>
      </c>
      <c r="H688" s="77"/>
    </row>
    <row r="689" spans="1:8" x14ac:dyDescent="0.3">
      <c r="A689" t="s">
        <v>798</v>
      </c>
      <c r="B689" s="77" t="s">
        <v>108</v>
      </c>
      <c r="C689" s="77" t="s">
        <v>29</v>
      </c>
      <c r="D689" s="77" t="s">
        <v>816</v>
      </c>
      <c r="E689" s="77" t="s">
        <v>817</v>
      </c>
      <c r="F689" s="77" t="s">
        <v>273</v>
      </c>
      <c r="G689" s="77" t="s">
        <v>27</v>
      </c>
      <c r="H689" s="77"/>
    </row>
    <row r="690" spans="1:8" x14ac:dyDescent="0.3">
      <c r="A690" t="s">
        <v>798</v>
      </c>
      <c r="B690" s="77" t="s">
        <v>112</v>
      </c>
      <c r="C690" s="77" t="s">
        <v>29</v>
      </c>
      <c r="D690" s="77" t="s">
        <v>818</v>
      </c>
      <c r="E690" s="77" t="s">
        <v>819</v>
      </c>
      <c r="F690" s="77" t="s">
        <v>611</v>
      </c>
      <c r="G690" s="77" t="s">
        <v>27</v>
      </c>
      <c r="H690" s="77"/>
    </row>
    <row r="691" spans="1:8" x14ac:dyDescent="0.3">
      <c r="A691" t="s">
        <v>798</v>
      </c>
      <c r="B691" s="77" t="s">
        <v>116</v>
      </c>
      <c r="C691" s="77" t="s">
        <v>29</v>
      </c>
      <c r="D691" s="77" t="s">
        <v>820</v>
      </c>
      <c r="E691" s="77" t="s">
        <v>769</v>
      </c>
      <c r="F691" s="77" t="s">
        <v>583</v>
      </c>
      <c r="G691" s="77" t="s">
        <v>27</v>
      </c>
      <c r="H691" s="77"/>
    </row>
    <row r="692" spans="1:8" x14ac:dyDescent="0.3">
      <c r="A692" t="s">
        <v>798</v>
      </c>
      <c r="B692" s="77" t="s">
        <v>121</v>
      </c>
      <c r="C692" s="77" t="s">
        <v>29</v>
      </c>
      <c r="D692" s="77" t="s">
        <v>821</v>
      </c>
      <c r="E692" s="77" t="s">
        <v>627</v>
      </c>
      <c r="F692" s="77" t="s">
        <v>585</v>
      </c>
      <c r="G692" s="77" t="s">
        <v>27</v>
      </c>
      <c r="H692" s="77"/>
    </row>
    <row r="693" spans="1:8" x14ac:dyDescent="0.3">
      <c r="A693" t="s">
        <v>798</v>
      </c>
      <c r="B693" s="77" t="s">
        <v>125</v>
      </c>
      <c r="C693" s="77" t="s">
        <v>29</v>
      </c>
      <c r="D693" s="77" t="s">
        <v>822</v>
      </c>
      <c r="E693" s="77" t="s">
        <v>823</v>
      </c>
      <c r="F693" s="77" t="s">
        <v>824</v>
      </c>
      <c r="G693" s="77" t="s">
        <v>27</v>
      </c>
      <c r="H693" s="77"/>
    </row>
    <row r="694" spans="1:8" x14ac:dyDescent="0.3">
      <c r="A694" t="s">
        <v>798</v>
      </c>
      <c r="B694" s="77" t="s">
        <v>129</v>
      </c>
      <c r="C694" s="77" t="s">
        <v>29</v>
      </c>
      <c r="D694" s="77" t="s">
        <v>739</v>
      </c>
      <c r="E694" s="77" t="s">
        <v>723</v>
      </c>
      <c r="F694" s="77" t="s">
        <v>205</v>
      </c>
      <c r="G694" s="77" t="s">
        <v>27</v>
      </c>
      <c r="H694" s="77"/>
    </row>
    <row r="695" spans="1:8" x14ac:dyDescent="0.3">
      <c r="A695" t="s">
        <v>798</v>
      </c>
      <c r="B695" s="77" t="s">
        <v>134</v>
      </c>
      <c r="C695" s="77" t="s">
        <v>29</v>
      </c>
      <c r="D695" s="77" t="s">
        <v>825</v>
      </c>
      <c r="E695" s="77" t="s">
        <v>826</v>
      </c>
      <c r="F695" s="77" t="s">
        <v>827</v>
      </c>
      <c r="G695" s="77" t="s">
        <v>27</v>
      </c>
      <c r="H695" s="77"/>
    </row>
    <row r="696" spans="1:8" x14ac:dyDescent="0.3">
      <c r="A696" t="s">
        <v>798</v>
      </c>
      <c r="B696" s="77" t="s">
        <v>138</v>
      </c>
      <c r="C696" s="77" t="s">
        <v>29</v>
      </c>
      <c r="D696" s="77" t="s">
        <v>828</v>
      </c>
      <c r="E696" s="77" t="s">
        <v>829</v>
      </c>
      <c r="F696" s="77" t="s">
        <v>830</v>
      </c>
      <c r="G696" s="77" t="s">
        <v>27</v>
      </c>
      <c r="H696" s="77"/>
    </row>
    <row r="697" spans="1:8" x14ac:dyDescent="0.3">
      <c r="A697" t="s">
        <v>798</v>
      </c>
      <c r="B697" s="77" t="s">
        <v>142</v>
      </c>
      <c r="C697" s="77" t="s">
        <v>29</v>
      </c>
      <c r="D697" s="77" t="s">
        <v>831</v>
      </c>
      <c r="E697" s="77" t="s">
        <v>247</v>
      </c>
      <c r="F697" s="77" t="s">
        <v>645</v>
      </c>
      <c r="G697" s="77" t="s">
        <v>27</v>
      </c>
      <c r="H697" s="77"/>
    </row>
    <row r="698" spans="1:8" x14ac:dyDescent="0.3">
      <c r="A698" t="s">
        <v>798</v>
      </c>
      <c r="B698" s="77" t="s">
        <v>147</v>
      </c>
      <c r="C698" s="77" t="s">
        <v>29</v>
      </c>
      <c r="D698" s="77" t="s">
        <v>832</v>
      </c>
      <c r="E698" s="77" t="s">
        <v>833</v>
      </c>
      <c r="F698" s="77" t="s">
        <v>834</v>
      </c>
      <c r="G698" s="77" t="s">
        <v>27</v>
      </c>
      <c r="H698" s="77"/>
    </row>
    <row r="699" spans="1:8" x14ac:dyDescent="0.3">
      <c r="A699" t="s">
        <v>798</v>
      </c>
      <c r="B699" s="77" t="s">
        <v>151</v>
      </c>
      <c r="C699" s="77" t="s">
        <v>29</v>
      </c>
      <c r="D699" s="77" t="s">
        <v>835</v>
      </c>
      <c r="E699" s="77" t="s">
        <v>836</v>
      </c>
      <c r="F699" s="77" t="s">
        <v>725</v>
      </c>
      <c r="G699" s="77" t="s">
        <v>27</v>
      </c>
      <c r="H699" s="77"/>
    </row>
    <row r="700" spans="1:8" x14ac:dyDescent="0.3">
      <c r="A700" t="s">
        <v>798</v>
      </c>
      <c r="B700" s="77" t="s">
        <v>155</v>
      </c>
      <c r="C700" s="77" t="s">
        <v>29</v>
      </c>
      <c r="D700" s="77" t="s">
        <v>837</v>
      </c>
      <c r="E700" s="77" t="s">
        <v>838</v>
      </c>
      <c r="F700" s="77" t="s">
        <v>839</v>
      </c>
      <c r="G700" s="77" t="s">
        <v>27</v>
      </c>
      <c r="H700" s="77"/>
    </row>
    <row r="701" spans="1:8" x14ac:dyDescent="0.3">
      <c r="A701" t="s">
        <v>798</v>
      </c>
      <c r="B701" s="77" t="s">
        <v>159</v>
      </c>
      <c r="C701" s="77" t="s">
        <v>29</v>
      </c>
      <c r="D701" s="77" t="s">
        <v>840</v>
      </c>
      <c r="E701" s="77" t="s">
        <v>841</v>
      </c>
      <c r="F701" s="77" t="s">
        <v>842</v>
      </c>
      <c r="G701" s="77" t="s">
        <v>27</v>
      </c>
      <c r="H701" s="77"/>
    </row>
    <row r="702" spans="1:8" x14ac:dyDescent="0.3">
      <c r="A702" t="s">
        <v>798</v>
      </c>
      <c r="B702" s="77" t="s">
        <v>163</v>
      </c>
      <c r="C702" s="77" t="s">
        <v>29</v>
      </c>
      <c r="D702" s="77" t="s">
        <v>843</v>
      </c>
      <c r="E702" s="77" t="s">
        <v>844</v>
      </c>
      <c r="F702" s="77" t="s">
        <v>689</v>
      </c>
      <c r="G702" s="77" t="s">
        <v>27</v>
      </c>
      <c r="H702" s="77"/>
    </row>
    <row r="703" spans="1:8" x14ac:dyDescent="0.3">
      <c r="A703" t="s">
        <v>798</v>
      </c>
      <c r="B703" s="77" t="s">
        <v>166</v>
      </c>
      <c r="C703" s="77" t="s">
        <v>29</v>
      </c>
      <c r="D703" s="77" t="s">
        <v>845</v>
      </c>
      <c r="E703" s="77" t="s">
        <v>846</v>
      </c>
      <c r="F703" s="77" t="s">
        <v>847</v>
      </c>
      <c r="G703" s="77" t="s">
        <v>27</v>
      </c>
      <c r="H703" s="77"/>
    </row>
    <row r="704" spans="1:8" x14ac:dyDescent="0.3">
      <c r="A704" t="s">
        <v>798</v>
      </c>
      <c r="B704" s="77" t="s">
        <v>170</v>
      </c>
      <c r="C704" s="77" t="s">
        <v>29</v>
      </c>
      <c r="D704" s="77" t="s">
        <v>848</v>
      </c>
      <c r="E704" s="77" t="s">
        <v>849</v>
      </c>
      <c r="F704" s="77" t="s">
        <v>850</v>
      </c>
      <c r="G704" s="77" t="s">
        <v>27</v>
      </c>
      <c r="H704" s="77"/>
    </row>
    <row r="705" spans="1:8" x14ac:dyDescent="0.3">
      <c r="A705" t="s">
        <v>798</v>
      </c>
      <c r="B705" s="77" t="s">
        <v>175</v>
      </c>
      <c r="C705" s="77" t="s">
        <v>29</v>
      </c>
      <c r="D705" s="77" t="s">
        <v>851</v>
      </c>
      <c r="E705" s="77" t="s">
        <v>852</v>
      </c>
      <c r="F705" s="77" t="s">
        <v>853</v>
      </c>
      <c r="G705" s="77" t="s">
        <v>27</v>
      </c>
      <c r="H705" s="77"/>
    </row>
    <row r="706" spans="1:8" x14ac:dyDescent="0.3">
      <c r="A706" t="s">
        <v>798</v>
      </c>
      <c r="B706" s="77" t="s">
        <v>179</v>
      </c>
      <c r="C706" s="77" t="s">
        <v>29</v>
      </c>
      <c r="D706" s="77" t="s">
        <v>854</v>
      </c>
      <c r="E706" s="77" t="s">
        <v>855</v>
      </c>
      <c r="F706" s="77" t="s">
        <v>805</v>
      </c>
      <c r="G706" s="77" t="s">
        <v>27</v>
      </c>
      <c r="H706" s="77"/>
    </row>
    <row r="707" spans="1:8" x14ac:dyDescent="0.3">
      <c r="A707" t="s">
        <v>856</v>
      </c>
      <c r="B707" s="77" t="s">
        <v>33</v>
      </c>
      <c r="C707" s="77" t="s">
        <v>29</v>
      </c>
      <c r="D707" s="77" t="s">
        <v>699</v>
      </c>
      <c r="E707" s="77" t="s">
        <v>577</v>
      </c>
      <c r="F707" s="77" t="s">
        <v>857</v>
      </c>
      <c r="G707" s="77" t="s">
        <v>27</v>
      </c>
      <c r="H707" s="77"/>
    </row>
    <row r="708" spans="1:8" x14ac:dyDescent="0.3">
      <c r="A708" t="s">
        <v>856</v>
      </c>
      <c r="B708" s="77" t="s">
        <v>38</v>
      </c>
      <c r="C708" s="77" t="s">
        <v>29</v>
      </c>
      <c r="D708" s="77" t="s">
        <v>858</v>
      </c>
      <c r="E708" s="77" t="s">
        <v>561</v>
      </c>
      <c r="F708" s="77" t="s">
        <v>490</v>
      </c>
      <c r="G708" s="77" t="s">
        <v>27</v>
      </c>
      <c r="H708" s="77"/>
    </row>
    <row r="709" spans="1:8" x14ac:dyDescent="0.3">
      <c r="A709" t="s">
        <v>856</v>
      </c>
      <c r="B709" s="77" t="s">
        <v>43</v>
      </c>
      <c r="C709" s="77" t="s">
        <v>29</v>
      </c>
      <c r="D709" s="77" t="s">
        <v>740</v>
      </c>
      <c r="E709" s="77" t="s">
        <v>547</v>
      </c>
      <c r="F709" s="77" t="s">
        <v>638</v>
      </c>
      <c r="G709" s="77" t="s">
        <v>27</v>
      </c>
      <c r="H709" s="77"/>
    </row>
    <row r="710" spans="1:8" x14ac:dyDescent="0.3">
      <c r="A710" t="s">
        <v>856</v>
      </c>
      <c r="B710" s="77" t="s">
        <v>47</v>
      </c>
      <c r="C710" s="77" t="s">
        <v>29</v>
      </c>
      <c r="D710" s="77" t="s">
        <v>859</v>
      </c>
      <c r="E710" s="77" t="s">
        <v>860</v>
      </c>
      <c r="F710" s="77" t="s">
        <v>289</v>
      </c>
      <c r="G710" s="77" t="s">
        <v>27</v>
      </c>
      <c r="H710" s="77"/>
    </row>
    <row r="711" spans="1:8" x14ac:dyDescent="0.3">
      <c r="A711" t="s">
        <v>856</v>
      </c>
      <c r="B711" s="77" t="s">
        <v>52</v>
      </c>
      <c r="C711" s="77" t="s">
        <v>29</v>
      </c>
      <c r="D711" s="77" t="s">
        <v>833</v>
      </c>
      <c r="E711" s="77" t="s">
        <v>861</v>
      </c>
      <c r="F711" s="77" t="s">
        <v>862</v>
      </c>
      <c r="G711" s="77" t="s">
        <v>27</v>
      </c>
      <c r="H711" s="77"/>
    </row>
    <row r="712" spans="1:8" x14ac:dyDescent="0.3">
      <c r="A712" t="s">
        <v>856</v>
      </c>
      <c r="B712" s="77" t="s">
        <v>57</v>
      </c>
      <c r="C712" s="77" t="s">
        <v>29</v>
      </c>
      <c r="D712" s="77" t="s">
        <v>863</v>
      </c>
      <c r="E712" s="77" t="s">
        <v>568</v>
      </c>
      <c r="F712" s="77" t="s">
        <v>813</v>
      </c>
      <c r="G712" s="77" t="s">
        <v>27</v>
      </c>
      <c r="H712" s="77"/>
    </row>
    <row r="713" spans="1:8" x14ac:dyDescent="0.3">
      <c r="A713" t="s">
        <v>856</v>
      </c>
      <c r="B713" s="77" t="s">
        <v>62</v>
      </c>
      <c r="C713" s="77" t="s">
        <v>29</v>
      </c>
      <c r="D713" s="77" t="s">
        <v>864</v>
      </c>
      <c r="E713" s="77" t="s">
        <v>865</v>
      </c>
      <c r="F713" s="77" t="s">
        <v>866</v>
      </c>
      <c r="G713" s="77" t="s">
        <v>27</v>
      </c>
      <c r="H713" s="77"/>
    </row>
    <row r="714" spans="1:8" x14ac:dyDescent="0.3">
      <c r="A714" t="s">
        <v>856</v>
      </c>
      <c r="B714" s="77" t="s">
        <v>66</v>
      </c>
      <c r="C714" s="77" t="s">
        <v>29</v>
      </c>
      <c r="D714" s="77" t="s">
        <v>867</v>
      </c>
      <c r="E714" s="77" t="s">
        <v>868</v>
      </c>
      <c r="F714" s="77" t="s">
        <v>228</v>
      </c>
      <c r="G714" s="77" t="s">
        <v>27</v>
      </c>
      <c r="H714" s="77"/>
    </row>
    <row r="715" spans="1:8" x14ac:dyDescent="0.3">
      <c r="A715" t="s">
        <v>856</v>
      </c>
      <c r="B715" s="77" t="s">
        <v>70</v>
      </c>
      <c r="C715" s="77" t="s">
        <v>29</v>
      </c>
      <c r="D715" s="77" t="s">
        <v>869</v>
      </c>
      <c r="E715" s="77" t="s">
        <v>824</v>
      </c>
      <c r="F715" s="77" t="s">
        <v>531</v>
      </c>
      <c r="G715" s="77" t="s">
        <v>27</v>
      </c>
      <c r="H715" s="77"/>
    </row>
    <row r="716" spans="1:8" x14ac:dyDescent="0.3">
      <c r="A716" t="s">
        <v>856</v>
      </c>
      <c r="B716" s="77" t="s">
        <v>75</v>
      </c>
      <c r="C716" s="77" t="s">
        <v>29</v>
      </c>
      <c r="D716" s="77" t="s">
        <v>708</v>
      </c>
      <c r="E716" s="77" t="s">
        <v>211</v>
      </c>
      <c r="F716" s="77" t="s">
        <v>506</v>
      </c>
      <c r="G716" s="77" t="s">
        <v>27</v>
      </c>
      <c r="H716" s="77"/>
    </row>
    <row r="717" spans="1:8" x14ac:dyDescent="0.3">
      <c r="A717" t="s">
        <v>856</v>
      </c>
      <c r="B717" s="77" t="s">
        <v>79</v>
      </c>
      <c r="C717" s="77" t="s">
        <v>29</v>
      </c>
      <c r="D717" s="77" t="s">
        <v>736</v>
      </c>
      <c r="E717" s="77" t="s">
        <v>537</v>
      </c>
      <c r="F717" s="77" t="s">
        <v>561</v>
      </c>
      <c r="G717" s="77" t="s">
        <v>27</v>
      </c>
      <c r="H717" s="77"/>
    </row>
    <row r="718" spans="1:8" x14ac:dyDescent="0.3">
      <c r="A718" t="s">
        <v>856</v>
      </c>
      <c r="B718" s="77" t="s">
        <v>83</v>
      </c>
      <c r="C718" s="77" t="s">
        <v>29</v>
      </c>
      <c r="D718" s="77" t="s">
        <v>870</v>
      </c>
      <c r="E718" s="77" t="s">
        <v>537</v>
      </c>
      <c r="F718" s="77" t="s">
        <v>698</v>
      </c>
      <c r="G718" s="77" t="s">
        <v>27</v>
      </c>
      <c r="H718" s="77"/>
    </row>
    <row r="719" spans="1:8" x14ac:dyDescent="0.3">
      <c r="A719" t="s">
        <v>856</v>
      </c>
      <c r="B719" s="77" t="s">
        <v>88</v>
      </c>
      <c r="C719" s="77" t="s">
        <v>29</v>
      </c>
      <c r="D719" s="77" t="s">
        <v>871</v>
      </c>
      <c r="E719" s="77" t="s">
        <v>617</v>
      </c>
      <c r="F719" s="77" t="s">
        <v>872</v>
      </c>
      <c r="G719" s="77" t="s">
        <v>27</v>
      </c>
      <c r="H719" s="77"/>
    </row>
    <row r="720" spans="1:8" x14ac:dyDescent="0.3">
      <c r="A720" t="s">
        <v>856</v>
      </c>
      <c r="B720" s="77" t="s">
        <v>92</v>
      </c>
      <c r="C720" s="77" t="s">
        <v>29</v>
      </c>
      <c r="D720" s="77" t="s">
        <v>873</v>
      </c>
      <c r="E720" s="77" t="s">
        <v>874</v>
      </c>
      <c r="F720" s="77" t="s">
        <v>875</v>
      </c>
      <c r="G720" s="77" t="s">
        <v>27</v>
      </c>
      <c r="H720" s="77"/>
    </row>
    <row r="721" spans="1:8" x14ac:dyDescent="0.3">
      <c r="A721" t="s">
        <v>856</v>
      </c>
      <c r="B721" s="77" t="s">
        <v>96</v>
      </c>
      <c r="C721" s="77" t="s">
        <v>29</v>
      </c>
      <c r="D721" s="77" t="s">
        <v>876</v>
      </c>
      <c r="E721" s="77" t="s">
        <v>877</v>
      </c>
      <c r="F721" s="77" t="s">
        <v>878</v>
      </c>
      <c r="G721" s="77" t="s">
        <v>27</v>
      </c>
      <c r="H721" s="77"/>
    </row>
    <row r="722" spans="1:8" x14ac:dyDescent="0.3">
      <c r="A722" t="s">
        <v>856</v>
      </c>
      <c r="B722" s="77" t="s">
        <v>100</v>
      </c>
      <c r="C722" s="77" t="s">
        <v>29</v>
      </c>
      <c r="D722" s="77" t="s">
        <v>773</v>
      </c>
      <c r="E722" s="77" t="s">
        <v>879</v>
      </c>
      <c r="F722" s="77" t="s">
        <v>770</v>
      </c>
      <c r="G722" s="77" t="s">
        <v>27</v>
      </c>
      <c r="H722" s="77"/>
    </row>
    <row r="723" spans="1:8" x14ac:dyDescent="0.3">
      <c r="A723" t="s">
        <v>856</v>
      </c>
      <c r="B723" s="77" t="s">
        <v>104</v>
      </c>
      <c r="C723" s="77" t="s">
        <v>29</v>
      </c>
      <c r="D723" s="77" t="s">
        <v>880</v>
      </c>
      <c r="E723" s="77" t="s">
        <v>695</v>
      </c>
      <c r="F723" s="77" t="s">
        <v>214</v>
      </c>
      <c r="G723" s="77" t="s">
        <v>27</v>
      </c>
      <c r="H723" s="77"/>
    </row>
    <row r="724" spans="1:8" x14ac:dyDescent="0.3">
      <c r="A724" t="s">
        <v>856</v>
      </c>
      <c r="B724" s="77" t="s">
        <v>108</v>
      </c>
      <c r="C724" s="77" t="s">
        <v>29</v>
      </c>
      <c r="D724" s="77" t="s">
        <v>881</v>
      </c>
      <c r="E724" s="77" t="s">
        <v>839</v>
      </c>
      <c r="F724" s="77" t="s">
        <v>882</v>
      </c>
      <c r="G724" s="77" t="s">
        <v>27</v>
      </c>
      <c r="H724" s="77"/>
    </row>
    <row r="725" spans="1:8" x14ac:dyDescent="0.3">
      <c r="A725" t="s">
        <v>856</v>
      </c>
      <c r="B725" s="77" t="s">
        <v>112</v>
      </c>
      <c r="C725" s="77" t="s">
        <v>29</v>
      </c>
      <c r="D725" s="77" t="s">
        <v>883</v>
      </c>
      <c r="E725" s="77" t="s">
        <v>884</v>
      </c>
      <c r="F725" s="77" t="s">
        <v>885</v>
      </c>
      <c r="G725" s="77" t="s">
        <v>27</v>
      </c>
      <c r="H725" s="77"/>
    </row>
    <row r="726" spans="1:8" x14ac:dyDescent="0.3">
      <c r="A726" t="s">
        <v>856</v>
      </c>
      <c r="B726" s="77" t="s">
        <v>116</v>
      </c>
      <c r="C726" s="77" t="s">
        <v>29</v>
      </c>
      <c r="D726" s="77" t="s">
        <v>825</v>
      </c>
      <c r="E726" s="77" t="s">
        <v>886</v>
      </c>
      <c r="F726" s="77" t="s">
        <v>259</v>
      </c>
      <c r="G726" s="77" t="s">
        <v>74</v>
      </c>
      <c r="H726" s="77"/>
    </row>
    <row r="727" spans="1:8" x14ac:dyDescent="0.3">
      <c r="A727" t="s">
        <v>856</v>
      </c>
      <c r="B727" s="77" t="s">
        <v>121</v>
      </c>
      <c r="C727" s="77" t="s">
        <v>29</v>
      </c>
      <c r="D727" s="77" t="s">
        <v>887</v>
      </c>
      <c r="E727" s="77" t="s">
        <v>247</v>
      </c>
      <c r="F727" s="77" t="s">
        <v>888</v>
      </c>
      <c r="G727" s="77" t="s">
        <v>27</v>
      </c>
      <c r="H727" s="77"/>
    </row>
    <row r="728" spans="1:8" x14ac:dyDescent="0.3">
      <c r="A728" t="s">
        <v>856</v>
      </c>
      <c r="B728" s="77" t="s">
        <v>125</v>
      </c>
      <c r="C728" s="77" t="s">
        <v>29</v>
      </c>
      <c r="D728" s="77" t="s">
        <v>889</v>
      </c>
      <c r="E728" s="77" t="s">
        <v>890</v>
      </c>
      <c r="F728" s="77" t="s">
        <v>593</v>
      </c>
      <c r="G728" s="77" t="s">
        <v>74</v>
      </c>
      <c r="H728" s="77"/>
    </row>
    <row r="729" spans="1:8" x14ac:dyDescent="0.3">
      <c r="A729" t="s">
        <v>856</v>
      </c>
      <c r="B729" s="77" t="s">
        <v>129</v>
      </c>
      <c r="C729" s="77" t="s">
        <v>29</v>
      </c>
      <c r="D729" s="77" t="s">
        <v>891</v>
      </c>
      <c r="E729" s="77" t="s">
        <v>659</v>
      </c>
      <c r="F729" s="77" t="s">
        <v>648</v>
      </c>
      <c r="G729" s="77" t="s">
        <v>27</v>
      </c>
      <c r="H729" s="77"/>
    </row>
    <row r="730" spans="1:8" x14ac:dyDescent="0.3">
      <c r="A730" t="s">
        <v>856</v>
      </c>
      <c r="B730" s="77" t="s">
        <v>134</v>
      </c>
      <c r="C730" s="77" t="s">
        <v>29</v>
      </c>
      <c r="D730" s="77" t="s">
        <v>892</v>
      </c>
      <c r="E730" s="77" t="s">
        <v>893</v>
      </c>
      <c r="F730" s="77" t="s">
        <v>894</v>
      </c>
      <c r="G730" s="77" t="s">
        <v>27</v>
      </c>
      <c r="H730" s="77"/>
    </row>
    <row r="731" spans="1:8" x14ac:dyDescent="0.3">
      <c r="A731" t="s">
        <v>856</v>
      </c>
      <c r="B731" s="77" t="s">
        <v>138</v>
      </c>
      <c r="C731" s="77" t="s">
        <v>29</v>
      </c>
      <c r="D731" s="77" t="s">
        <v>895</v>
      </c>
      <c r="E731" s="77" t="s">
        <v>896</v>
      </c>
      <c r="F731" s="77" t="s">
        <v>242</v>
      </c>
      <c r="G731" s="77" t="s">
        <v>27</v>
      </c>
      <c r="H731" s="77"/>
    </row>
    <row r="732" spans="1:8" x14ac:dyDescent="0.3">
      <c r="A732" t="s">
        <v>856</v>
      </c>
      <c r="B732" s="77" t="s">
        <v>142</v>
      </c>
      <c r="C732" s="77" t="s">
        <v>29</v>
      </c>
      <c r="D732" s="77" t="s">
        <v>897</v>
      </c>
      <c r="E732" s="77" t="s">
        <v>898</v>
      </c>
      <c r="F732" s="77" t="s">
        <v>899</v>
      </c>
      <c r="G732" s="77" t="s">
        <v>27</v>
      </c>
      <c r="H732" s="77"/>
    </row>
    <row r="733" spans="1:8" x14ac:dyDescent="0.3">
      <c r="A733" t="s">
        <v>856</v>
      </c>
      <c r="B733" s="77" t="s">
        <v>147</v>
      </c>
      <c r="C733" s="77" t="s">
        <v>29</v>
      </c>
      <c r="D733" s="77" t="s">
        <v>900</v>
      </c>
      <c r="E733" s="77" t="s">
        <v>901</v>
      </c>
      <c r="F733" s="77" t="s">
        <v>740</v>
      </c>
      <c r="G733" s="77" t="s">
        <v>27</v>
      </c>
      <c r="H733" s="77"/>
    </row>
    <row r="734" spans="1:8" x14ac:dyDescent="0.3">
      <c r="A734" t="s">
        <v>856</v>
      </c>
      <c r="B734" s="77" t="s">
        <v>151</v>
      </c>
      <c r="C734" s="77" t="s">
        <v>29</v>
      </c>
      <c r="D734" s="77" t="s">
        <v>902</v>
      </c>
      <c r="E734" s="77" t="s">
        <v>903</v>
      </c>
      <c r="F734" s="77" t="s">
        <v>904</v>
      </c>
      <c r="G734" s="77" t="s">
        <v>27</v>
      </c>
      <c r="H734" s="77"/>
    </row>
    <row r="735" spans="1:8" x14ac:dyDescent="0.3">
      <c r="A735" t="s">
        <v>856</v>
      </c>
      <c r="B735" s="77" t="s">
        <v>155</v>
      </c>
      <c r="C735" s="77" t="s">
        <v>29</v>
      </c>
      <c r="D735" s="77" t="s">
        <v>905</v>
      </c>
      <c r="E735" s="77" t="s">
        <v>869</v>
      </c>
      <c r="F735" s="77" t="s">
        <v>906</v>
      </c>
      <c r="G735" s="77" t="s">
        <v>27</v>
      </c>
      <c r="H735" s="77"/>
    </row>
    <row r="736" spans="1:8" x14ac:dyDescent="0.3">
      <c r="A736" t="s">
        <v>856</v>
      </c>
      <c r="B736" s="77" t="s">
        <v>159</v>
      </c>
      <c r="C736" s="77" t="s">
        <v>29</v>
      </c>
      <c r="D736" s="77" t="s">
        <v>907</v>
      </c>
      <c r="E736" s="77" t="s">
        <v>908</v>
      </c>
      <c r="F736" s="77" t="s">
        <v>826</v>
      </c>
      <c r="G736" s="77" t="s">
        <v>27</v>
      </c>
      <c r="H736" s="77"/>
    </row>
    <row r="737" spans="1:8" x14ac:dyDescent="0.3">
      <c r="A737" t="s">
        <v>856</v>
      </c>
      <c r="B737" s="77" t="s">
        <v>163</v>
      </c>
      <c r="C737" s="77" t="s">
        <v>29</v>
      </c>
      <c r="D737" s="77" t="s">
        <v>909</v>
      </c>
      <c r="E737" s="77" t="s">
        <v>900</v>
      </c>
      <c r="F737" s="77" t="s">
        <v>910</v>
      </c>
      <c r="G737" s="77" t="s">
        <v>27</v>
      </c>
      <c r="H737" s="77"/>
    </row>
    <row r="738" spans="1:8" x14ac:dyDescent="0.3">
      <c r="A738" t="s">
        <v>856</v>
      </c>
      <c r="B738" s="77" t="s">
        <v>166</v>
      </c>
      <c r="C738" s="77" t="s">
        <v>29</v>
      </c>
      <c r="D738" s="77" t="s">
        <v>911</v>
      </c>
      <c r="E738" s="77" t="s">
        <v>912</v>
      </c>
      <c r="F738" s="77" t="s">
        <v>913</v>
      </c>
      <c r="G738" s="77" t="s">
        <v>27</v>
      </c>
      <c r="H738" s="77"/>
    </row>
    <row r="739" spans="1:8" x14ac:dyDescent="0.3">
      <c r="A739" t="s">
        <v>856</v>
      </c>
      <c r="B739" s="77" t="s">
        <v>170</v>
      </c>
      <c r="C739" s="77" t="s">
        <v>29</v>
      </c>
      <c r="D739" s="77" t="s">
        <v>914</v>
      </c>
      <c r="E739" s="77" t="s">
        <v>847</v>
      </c>
      <c r="F739" s="77" t="s">
        <v>915</v>
      </c>
      <c r="G739" s="77" t="s">
        <v>27</v>
      </c>
      <c r="H739" s="77"/>
    </row>
    <row r="740" spans="1:8" x14ac:dyDescent="0.3">
      <c r="A740" t="s">
        <v>856</v>
      </c>
      <c r="B740" s="77" t="s">
        <v>175</v>
      </c>
      <c r="C740" s="77" t="s">
        <v>29</v>
      </c>
      <c r="D740" s="77" t="s">
        <v>916</v>
      </c>
      <c r="E740" s="77" t="s">
        <v>917</v>
      </c>
      <c r="F740" s="77" t="s">
        <v>901</v>
      </c>
      <c r="G740" s="77" t="s">
        <v>27</v>
      </c>
      <c r="H740" s="77"/>
    </row>
    <row r="741" spans="1:8" x14ac:dyDescent="0.3">
      <c r="A741" t="s">
        <v>856</v>
      </c>
      <c r="B741" s="77" t="s">
        <v>179</v>
      </c>
      <c r="C741" s="77" t="s">
        <v>29</v>
      </c>
      <c r="D741" s="77" t="s">
        <v>918</v>
      </c>
      <c r="E741" s="77" t="s">
        <v>919</v>
      </c>
      <c r="F741" s="77" t="s">
        <v>791</v>
      </c>
      <c r="G741" s="77" t="s">
        <v>27</v>
      </c>
      <c r="H741" s="77"/>
    </row>
    <row r="742" spans="1:8" x14ac:dyDescent="0.3">
      <c r="A742" t="s">
        <v>920</v>
      </c>
      <c r="B742" s="77" t="s">
        <v>33</v>
      </c>
      <c r="C742" s="77" t="s">
        <v>29</v>
      </c>
      <c r="D742" s="77" t="s">
        <v>666</v>
      </c>
      <c r="E742" s="77" t="s">
        <v>629</v>
      </c>
      <c r="F742" s="77" t="s">
        <v>220</v>
      </c>
      <c r="G742" s="77" t="s">
        <v>27</v>
      </c>
      <c r="H742" s="77"/>
    </row>
    <row r="743" spans="1:8" x14ac:dyDescent="0.3">
      <c r="A743" t="s">
        <v>920</v>
      </c>
      <c r="B743" s="77" t="s">
        <v>38</v>
      </c>
      <c r="C743" s="77" t="s">
        <v>29</v>
      </c>
      <c r="D743" s="77" t="s">
        <v>699</v>
      </c>
      <c r="E743" s="77" t="s">
        <v>561</v>
      </c>
      <c r="F743" s="77" t="s">
        <v>237</v>
      </c>
      <c r="G743" s="77" t="s">
        <v>27</v>
      </c>
      <c r="H743" s="77"/>
    </row>
    <row r="744" spans="1:8" x14ac:dyDescent="0.3">
      <c r="A744" t="s">
        <v>920</v>
      </c>
      <c r="B744" s="77" t="s">
        <v>43</v>
      </c>
      <c r="C744" s="77" t="s">
        <v>29</v>
      </c>
      <c r="D744" s="77" t="s">
        <v>826</v>
      </c>
      <c r="E744" s="77" t="s">
        <v>644</v>
      </c>
      <c r="F744" s="77" t="s">
        <v>921</v>
      </c>
      <c r="G744" s="77" t="s">
        <v>27</v>
      </c>
      <c r="H744" s="77"/>
    </row>
    <row r="745" spans="1:8" x14ac:dyDescent="0.3">
      <c r="A745" t="s">
        <v>920</v>
      </c>
      <c r="B745" s="77" t="s">
        <v>47</v>
      </c>
      <c r="C745" s="77" t="s">
        <v>29</v>
      </c>
      <c r="D745" s="77" t="s">
        <v>922</v>
      </c>
      <c r="E745" s="77" t="s">
        <v>561</v>
      </c>
      <c r="F745" s="77" t="s">
        <v>692</v>
      </c>
      <c r="G745" s="77" t="s">
        <v>27</v>
      </c>
      <c r="H745" s="77"/>
    </row>
    <row r="746" spans="1:8" x14ac:dyDescent="0.3">
      <c r="A746" t="s">
        <v>920</v>
      </c>
      <c r="B746" s="77" t="s">
        <v>52</v>
      </c>
      <c r="C746" s="77" t="s">
        <v>29</v>
      </c>
      <c r="D746" s="77" t="s">
        <v>746</v>
      </c>
      <c r="E746" s="77" t="s">
        <v>547</v>
      </c>
      <c r="F746" s="77" t="s">
        <v>598</v>
      </c>
      <c r="G746" s="77" t="s">
        <v>27</v>
      </c>
      <c r="H746" s="77"/>
    </row>
    <row r="747" spans="1:8" x14ac:dyDescent="0.3">
      <c r="A747" t="s">
        <v>920</v>
      </c>
      <c r="B747" s="77" t="s">
        <v>57</v>
      </c>
      <c r="C747" s="77" t="s">
        <v>29</v>
      </c>
      <c r="D747" s="77" t="s">
        <v>898</v>
      </c>
      <c r="E747" s="77" t="s">
        <v>803</v>
      </c>
      <c r="F747" s="77" t="s">
        <v>923</v>
      </c>
      <c r="G747" s="77" t="s">
        <v>27</v>
      </c>
      <c r="H747" s="77"/>
    </row>
    <row r="748" spans="1:8" x14ac:dyDescent="0.3">
      <c r="A748" t="s">
        <v>920</v>
      </c>
      <c r="B748" s="77" t="s">
        <v>62</v>
      </c>
      <c r="C748" s="77" t="s">
        <v>29</v>
      </c>
      <c r="D748" s="77" t="s">
        <v>809</v>
      </c>
      <c r="E748" s="77" t="s">
        <v>924</v>
      </c>
      <c r="F748" s="77" t="s">
        <v>225</v>
      </c>
      <c r="G748" s="77" t="s">
        <v>27</v>
      </c>
      <c r="H748" s="77"/>
    </row>
    <row r="749" spans="1:8" x14ac:dyDescent="0.3">
      <c r="A749" t="s">
        <v>920</v>
      </c>
      <c r="B749" s="77" t="s">
        <v>66</v>
      </c>
      <c r="C749" s="77" t="s">
        <v>29</v>
      </c>
      <c r="D749" s="77" t="s">
        <v>925</v>
      </c>
      <c r="E749" s="77" t="s">
        <v>599</v>
      </c>
      <c r="F749" s="77" t="s">
        <v>575</v>
      </c>
      <c r="G749" s="77" t="s">
        <v>27</v>
      </c>
      <c r="H749" s="77"/>
    </row>
    <row r="750" spans="1:8" x14ac:dyDescent="0.3">
      <c r="A750" t="s">
        <v>920</v>
      </c>
      <c r="B750" s="77" t="s">
        <v>70</v>
      </c>
      <c r="C750" s="77" t="s">
        <v>29</v>
      </c>
      <c r="D750" s="77" t="s">
        <v>926</v>
      </c>
      <c r="E750" s="77" t="s">
        <v>927</v>
      </c>
      <c r="F750" s="77" t="s">
        <v>568</v>
      </c>
      <c r="G750" s="77" t="s">
        <v>27</v>
      </c>
      <c r="H750" s="77"/>
    </row>
    <row r="751" spans="1:8" x14ac:dyDescent="0.3">
      <c r="A751" t="s">
        <v>920</v>
      </c>
      <c r="B751" s="77" t="s">
        <v>75</v>
      </c>
      <c r="C751" s="77" t="s">
        <v>29</v>
      </c>
      <c r="D751" s="77" t="s">
        <v>928</v>
      </c>
      <c r="E751" s="77" t="s">
        <v>262</v>
      </c>
      <c r="F751" s="77" t="s">
        <v>929</v>
      </c>
      <c r="G751" s="77" t="s">
        <v>27</v>
      </c>
      <c r="H751" s="77"/>
    </row>
    <row r="752" spans="1:8" x14ac:dyDescent="0.3">
      <c r="A752" t="s">
        <v>920</v>
      </c>
      <c r="B752" s="77" t="s">
        <v>79</v>
      </c>
      <c r="C752" s="77" t="s">
        <v>29</v>
      </c>
      <c r="D752" s="77" t="s">
        <v>930</v>
      </c>
      <c r="E752" s="77" t="s">
        <v>931</v>
      </c>
      <c r="F752" s="77" t="s">
        <v>932</v>
      </c>
      <c r="G752" s="77" t="s">
        <v>27</v>
      </c>
      <c r="H752" s="77"/>
    </row>
    <row r="753" spans="1:8" x14ac:dyDescent="0.3">
      <c r="A753" t="s">
        <v>920</v>
      </c>
      <c r="B753" s="77" t="s">
        <v>83</v>
      </c>
      <c r="C753" s="77" t="s">
        <v>29</v>
      </c>
      <c r="D753" s="77" t="s">
        <v>933</v>
      </c>
      <c r="E753" s="77" t="s">
        <v>199</v>
      </c>
      <c r="F753" s="77" t="s">
        <v>578</v>
      </c>
      <c r="G753" s="77" t="s">
        <v>27</v>
      </c>
      <c r="H753" s="77"/>
    </row>
    <row r="754" spans="1:8" x14ac:dyDescent="0.3">
      <c r="A754" t="s">
        <v>920</v>
      </c>
      <c r="B754" s="77" t="s">
        <v>88</v>
      </c>
      <c r="C754" s="77" t="s">
        <v>29</v>
      </c>
      <c r="D754" s="77" t="s">
        <v>934</v>
      </c>
      <c r="E754" s="77" t="s">
        <v>781</v>
      </c>
      <c r="F754" s="77" t="s">
        <v>935</v>
      </c>
      <c r="G754" s="77" t="s">
        <v>27</v>
      </c>
      <c r="H754" s="77"/>
    </row>
    <row r="755" spans="1:8" x14ac:dyDescent="0.3">
      <c r="A755" t="s">
        <v>920</v>
      </c>
      <c r="B755" s="77" t="s">
        <v>92</v>
      </c>
      <c r="C755" s="77" t="s">
        <v>29</v>
      </c>
      <c r="D755" s="77" t="s">
        <v>936</v>
      </c>
      <c r="E755" s="77" t="s">
        <v>563</v>
      </c>
      <c r="F755" s="77" t="s">
        <v>225</v>
      </c>
      <c r="G755" s="77" t="s">
        <v>27</v>
      </c>
      <c r="H755" s="77"/>
    </row>
    <row r="756" spans="1:8" x14ac:dyDescent="0.3">
      <c r="A756" t="s">
        <v>920</v>
      </c>
      <c r="B756" s="77" t="s">
        <v>96</v>
      </c>
      <c r="C756" s="77" t="s">
        <v>29</v>
      </c>
      <c r="D756" s="77" t="s">
        <v>937</v>
      </c>
      <c r="E756" s="77" t="s">
        <v>613</v>
      </c>
      <c r="F756" s="77" t="s">
        <v>924</v>
      </c>
      <c r="G756" s="77" t="s">
        <v>74</v>
      </c>
      <c r="H756" s="77"/>
    </row>
    <row r="757" spans="1:8" x14ac:dyDescent="0.3">
      <c r="A757" t="s">
        <v>920</v>
      </c>
      <c r="B757" s="77" t="s">
        <v>100</v>
      </c>
      <c r="C757" s="77" t="s">
        <v>29</v>
      </c>
      <c r="D757" s="77" t="s">
        <v>938</v>
      </c>
      <c r="E757" s="77" t="s">
        <v>204</v>
      </c>
      <c r="F757" s="77" t="s">
        <v>622</v>
      </c>
      <c r="G757" s="77" t="s">
        <v>27</v>
      </c>
      <c r="H757" s="77"/>
    </row>
    <row r="758" spans="1:8" x14ac:dyDescent="0.3">
      <c r="A758" t="s">
        <v>920</v>
      </c>
      <c r="B758" s="77" t="s">
        <v>104</v>
      </c>
      <c r="C758" s="77" t="s">
        <v>29</v>
      </c>
      <c r="D758" s="77" t="s">
        <v>939</v>
      </c>
      <c r="E758" s="77" t="s">
        <v>242</v>
      </c>
      <c r="F758" s="77" t="s">
        <v>882</v>
      </c>
      <c r="G758" s="77" t="s">
        <v>27</v>
      </c>
      <c r="H758" s="77"/>
    </row>
    <row r="759" spans="1:8" x14ac:dyDescent="0.3">
      <c r="A759" t="s">
        <v>920</v>
      </c>
      <c r="B759" s="77" t="s">
        <v>108</v>
      </c>
      <c r="C759" s="77" t="s">
        <v>29</v>
      </c>
      <c r="D759" s="77" t="s">
        <v>940</v>
      </c>
      <c r="E759" s="77" t="s">
        <v>652</v>
      </c>
      <c r="F759" s="77" t="s">
        <v>941</v>
      </c>
      <c r="G759" s="77" t="s">
        <v>27</v>
      </c>
      <c r="H759" s="77"/>
    </row>
    <row r="760" spans="1:8" x14ac:dyDescent="0.3">
      <c r="A760" t="s">
        <v>920</v>
      </c>
      <c r="B760" s="77" t="s">
        <v>112</v>
      </c>
      <c r="C760" s="77" t="s">
        <v>29</v>
      </c>
      <c r="D760" s="77" t="s">
        <v>942</v>
      </c>
      <c r="E760" s="77" t="s">
        <v>943</v>
      </c>
      <c r="F760" s="77" t="s">
        <v>944</v>
      </c>
      <c r="G760" s="77" t="s">
        <v>27</v>
      </c>
      <c r="H760" s="77"/>
    </row>
    <row r="761" spans="1:8" x14ac:dyDescent="0.3">
      <c r="A761" t="s">
        <v>920</v>
      </c>
      <c r="B761" s="77" t="s">
        <v>116</v>
      </c>
      <c r="C761" s="77" t="s">
        <v>29</v>
      </c>
      <c r="D761" s="77" t="s">
        <v>945</v>
      </c>
      <c r="E761" s="77" t="s">
        <v>725</v>
      </c>
      <c r="F761" s="77" t="s">
        <v>886</v>
      </c>
      <c r="G761" s="77" t="s">
        <v>27</v>
      </c>
      <c r="H761" s="77"/>
    </row>
    <row r="762" spans="1:8" x14ac:dyDescent="0.3">
      <c r="A762" t="s">
        <v>920</v>
      </c>
      <c r="B762" s="77" t="s">
        <v>121</v>
      </c>
      <c r="C762" s="77" t="s">
        <v>29</v>
      </c>
      <c r="D762" s="77" t="s">
        <v>946</v>
      </c>
      <c r="E762" s="77" t="s">
        <v>947</v>
      </c>
      <c r="F762" s="77" t="s">
        <v>842</v>
      </c>
      <c r="G762" s="77" t="s">
        <v>27</v>
      </c>
      <c r="H762" s="77"/>
    </row>
    <row r="763" spans="1:8" x14ac:dyDescent="0.3">
      <c r="A763" t="s">
        <v>920</v>
      </c>
      <c r="B763" s="77" t="s">
        <v>125</v>
      </c>
      <c r="C763" s="77" t="s">
        <v>29</v>
      </c>
      <c r="D763" s="77" t="s">
        <v>948</v>
      </c>
      <c r="E763" s="77" t="s">
        <v>949</v>
      </c>
      <c r="F763" s="77" t="s">
        <v>950</v>
      </c>
      <c r="G763" s="77" t="s">
        <v>27</v>
      </c>
      <c r="H763" s="77"/>
    </row>
    <row r="764" spans="1:8" x14ac:dyDescent="0.3">
      <c r="A764" t="s">
        <v>920</v>
      </c>
      <c r="B764" s="77" t="s">
        <v>129</v>
      </c>
      <c r="C764" s="77" t="s">
        <v>29</v>
      </c>
      <c r="D764" s="77" t="s">
        <v>951</v>
      </c>
      <c r="E764" s="77" t="s">
        <v>952</v>
      </c>
      <c r="F764" s="77" t="s">
        <v>890</v>
      </c>
      <c r="G764" s="77" t="s">
        <v>27</v>
      </c>
      <c r="H764" s="77"/>
    </row>
    <row r="765" spans="1:8" x14ac:dyDescent="0.3">
      <c r="A765" t="s">
        <v>920</v>
      </c>
      <c r="B765" s="77" t="s">
        <v>134</v>
      </c>
      <c r="C765" s="77" t="s">
        <v>29</v>
      </c>
      <c r="D765" s="77" t="s">
        <v>953</v>
      </c>
      <c r="E765" s="77" t="s">
        <v>954</v>
      </c>
      <c r="F765" s="77" t="s">
        <v>235</v>
      </c>
      <c r="G765" s="77" t="s">
        <v>27</v>
      </c>
      <c r="H765" s="77"/>
    </row>
    <row r="766" spans="1:8" x14ac:dyDescent="0.3">
      <c r="A766" t="s">
        <v>920</v>
      </c>
      <c r="B766" s="77" t="s">
        <v>138</v>
      </c>
      <c r="C766" s="77" t="s">
        <v>29</v>
      </c>
      <c r="D766" s="77" t="s">
        <v>955</v>
      </c>
      <c r="E766" s="77" t="s">
        <v>956</v>
      </c>
      <c r="F766" s="77" t="s">
        <v>630</v>
      </c>
      <c r="G766" s="77" t="s">
        <v>27</v>
      </c>
      <c r="H766" s="77"/>
    </row>
    <row r="767" spans="1:8" x14ac:dyDescent="0.3">
      <c r="A767" t="s">
        <v>920</v>
      </c>
      <c r="B767" s="77" t="s">
        <v>142</v>
      </c>
      <c r="C767" s="77" t="s">
        <v>29</v>
      </c>
      <c r="D767" s="77" t="s">
        <v>957</v>
      </c>
      <c r="E767" s="77" t="s">
        <v>958</v>
      </c>
      <c r="F767" s="77" t="s">
        <v>959</v>
      </c>
      <c r="G767" s="77" t="s">
        <v>27</v>
      </c>
      <c r="H767" s="77"/>
    </row>
    <row r="768" spans="1:8" x14ac:dyDescent="0.3">
      <c r="A768" t="s">
        <v>920</v>
      </c>
      <c r="B768" s="77" t="s">
        <v>147</v>
      </c>
      <c r="C768" s="77" t="s">
        <v>29</v>
      </c>
      <c r="D768" s="77" t="s">
        <v>960</v>
      </c>
      <c r="E768" s="77" t="s">
        <v>961</v>
      </c>
      <c r="F768" s="77" t="s">
        <v>962</v>
      </c>
      <c r="G768" s="77" t="s">
        <v>27</v>
      </c>
      <c r="H768" s="77"/>
    </row>
    <row r="769" spans="1:8" x14ac:dyDescent="0.3">
      <c r="A769" t="s">
        <v>920</v>
      </c>
      <c r="B769" s="77" t="s">
        <v>151</v>
      </c>
      <c r="C769" s="77" t="s">
        <v>29</v>
      </c>
      <c r="D769" s="77" t="s">
        <v>963</v>
      </c>
      <c r="E769" s="77" t="s">
        <v>964</v>
      </c>
      <c r="F769" s="77" t="s">
        <v>707</v>
      </c>
      <c r="G769" s="77" t="s">
        <v>27</v>
      </c>
      <c r="H769" s="77"/>
    </row>
    <row r="770" spans="1:8" x14ac:dyDescent="0.3">
      <c r="A770" t="s">
        <v>920</v>
      </c>
      <c r="B770" s="77" t="s">
        <v>155</v>
      </c>
      <c r="C770" s="77" t="s">
        <v>29</v>
      </c>
      <c r="D770" s="77" t="s">
        <v>965</v>
      </c>
      <c r="E770" s="77" t="s">
        <v>715</v>
      </c>
      <c r="F770" s="77" t="s">
        <v>754</v>
      </c>
      <c r="G770" s="77" t="s">
        <v>27</v>
      </c>
      <c r="H770" s="77"/>
    </row>
    <row r="771" spans="1:8" x14ac:dyDescent="0.3">
      <c r="A771" t="s">
        <v>920</v>
      </c>
      <c r="B771" s="77" t="s">
        <v>159</v>
      </c>
      <c r="C771" s="77" t="s">
        <v>29</v>
      </c>
      <c r="D771" s="77" t="s">
        <v>966</v>
      </c>
      <c r="E771" s="77" t="s">
        <v>689</v>
      </c>
      <c r="F771" s="77" t="s">
        <v>867</v>
      </c>
      <c r="G771" s="77" t="s">
        <v>27</v>
      </c>
      <c r="H771" s="77"/>
    </row>
    <row r="772" spans="1:8" x14ac:dyDescent="0.3">
      <c r="A772" t="s">
        <v>920</v>
      </c>
      <c r="B772" s="77" t="s">
        <v>163</v>
      </c>
      <c r="C772" s="77" t="s">
        <v>29</v>
      </c>
      <c r="D772" s="77" t="s">
        <v>967</v>
      </c>
      <c r="E772" s="77" t="s">
        <v>832</v>
      </c>
      <c r="F772" s="77" t="s">
        <v>968</v>
      </c>
      <c r="G772" s="77" t="s">
        <v>27</v>
      </c>
      <c r="H772" s="77"/>
    </row>
    <row r="773" spans="1:8" x14ac:dyDescent="0.3">
      <c r="A773" t="s">
        <v>920</v>
      </c>
      <c r="B773" s="77" t="s">
        <v>166</v>
      </c>
      <c r="C773" s="77" t="s">
        <v>29</v>
      </c>
      <c r="D773" s="77" t="s">
        <v>969</v>
      </c>
      <c r="E773" s="77" t="s">
        <v>970</v>
      </c>
      <c r="F773" s="77" t="s">
        <v>971</v>
      </c>
      <c r="G773" s="77" t="s">
        <v>27</v>
      </c>
      <c r="H773" s="77"/>
    </row>
    <row r="774" spans="1:8" x14ac:dyDescent="0.3">
      <c r="A774" t="s">
        <v>920</v>
      </c>
      <c r="B774" s="77" t="s">
        <v>170</v>
      </c>
      <c r="C774" s="77" t="s">
        <v>29</v>
      </c>
      <c r="D774" s="77" t="s">
        <v>972</v>
      </c>
      <c r="E774" s="77" t="s">
        <v>973</v>
      </c>
      <c r="F774" s="77" t="s">
        <v>591</v>
      </c>
      <c r="G774" s="77" t="s">
        <v>27</v>
      </c>
      <c r="H774" s="77"/>
    </row>
    <row r="775" spans="1:8" x14ac:dyDescent="0.3">
      <c r="A775" t="s">
        <v>920</v>
      </c>
      <c r="B775" s="77" t="s">
        <v>175</v>
      </c>
      <c r="C775" s="77" t="s">
        <v>29</v>
      </c>
      <c r="D775" s="77" t="s">
        <v>974</v>
      </c>
      <c r="E775" s="77" t="s">
        <v>975</v>
      </c>
      <c r="F775" s="77" t="s">
        <v>961</v>
      </c>
      <c r="G775" s="77" t="s">
        <v>27</v>
      </c>
      <c r="H775" s="77"/>
    </row>
    <row r="776" spans="1:8" x14ac:dyDescent="0.3">
      <c r="A776" t="s">
        <v>920</v>
      </c>
      <c r="B776" s="77" t="s">
        <v>179</v>
      </c>
      <c r="C776" s="77" t="s">
        <v>29</v>
      </c>
      <c r="D776" s="77" t="s">
        <v>976</v>
      </c>
      <c r="E776" s="77" t="s">
        <v>977</v>
      </c>
      <c r="F776" s="77" t="s">
        <v>185</v>
      </c>
      <c r="G776" s="77" t="s">
        <v>27</v>
      </c>
      <c r="H776" s="77"/>
    </row>
    <row r="777" spans="1:8" x14ac:dyDescent="0.3">
      <c r="A777" t="s">
        <v>978</v>
      </c>
      <c r="B777" s="77" t="s">
        <v>33</v>
      </c>
      <c r="C777" s="77" t="s">
        <v>29</v>
      </c>
      <c r="D777" s="77" t="s">
        <v>198</v>
      </c>
      <c r="E777" s="77" t="s">
        <v>543</v>
      </c>
      <c r="F777" s="77" t="s">
        <v>254</v>
      </c>
      <c r="G777" s="77" t="s">
        <v>27</v>
      </c>
      <c r="H777" s="77"/>
    </row>
    <row r="778" spans="1:8" x14ac:dyDescent="0.3">
      <c r="A778" t="s">
        <v>978</v>
      </c>
      <c r="B778" s="77" t="s">
        <v>38</v>
      </c>
      <c r="C778" s="77" t="s">
        <v>29</v>
      </c>
      <c r="D778" s="77" t="s">
        <v>979</v>
      </c>
      <c r="E778" s="77" t="s">
        <v>243</v>
      </c>
      <c r="F778" s="77" t="s">
        <v>558</v>
      </c>
      <c r="G778" s="77" t="s">
        <v>27</v>
      </c>
      <c r="H778" s="77"/>
    </row>
    <row r="779" spans="1:8" x14ac:dyDescent="0.3">
      <c r="A779" t="s">
        <v>978</v>
      </c>
      <c r="B779" s="77" t="s">
        <v>43</v>
      </c>
      <c r="C779" s="77" t="s">
        <v>29</v>
      </c>
      <c r="D779" s="77" t="s">
        <v>850</v>
      </c>
      <c r="E779" s="77" t="s">
        <v>217</v>
      </c>
      <c r="F779" s="77" t="s">
        <v>243</v>
      </c>
      <c r="G779" s="77" t="s">
        <v>27</v>
      </c>
      <c r="H779" s="77"/>
    </row>
    <row r="780" spans="1:8" x14ac:dyDescent="0.3">
      <c r="A780" t="s">
        <v>978</v>
      </c>
      <c r="B780" s="77" t="s">
        <v>47</v>
      </c>
      <c r="C780" s="77" t="s">
        <v>29</v>
      </c>
      <c r="D780" s="77" t="s">
        <v>198</v>
      </c>
      <c r="E780" s="77" t="s">
        <v>223</v>
      </c>
      <c r="F780" s="77" t="s">
        <v>555</v>
      </c>
      <c r="G780" s="77" t="s">
        <v>27</v>
      </c>
      <c r="H780" s="77"/>
    </row>
    <row r="781" spans="1:8" x14ac:dyDescent="0.3">
      <c r="A781" t="s">
        <v>978</v>
      </c>
      <c r="B781" s="77" t="s">
        <v>52</v>
      </c>
      <c r="C781" s="77" t="s">
        <v>29</v>
      </c>
      <c r="D781" s="77" t="s">
        <v>980</v>
      </c>
      <c r="E781" s="77" t="s">
        <v>981</v>
      </c>
      <c r="F781" s="77" t="s">
        <v>576</v>
      </c>
      <c r="G781" s="77" t="s">
        <v>27</v>
      </c>
      <c r="H781" s="77"/>
    </row>
    <row r="782" spans="1:8" x14ac:dyDescent="0.3">
      <c r="A782" t="s">
        <v>978</v>
      </c>
      <c r="B782" s="77" t="s">
        <v>57</v>
      </c>
      <c r="C782" s="77" t="s">
        <v>29</v>
      </c>
      <c r="D782" s="77" t="s">
        <v>979</v>
      </c>
      <c r="E782" s="77" t="s">
        <v>572</v>
      </c>
      <c r="F782" s="77" t="s">
        <v>981</v>
      </c>
      <c r="G782" s="77" t="s">
        <v>27</v>
      </c>
      <c r="H782" s="77"/>
    </row>
    <row r="783" spans="1:8" x14ac:dyDescent="0.3">
      <c r="A783" t="s">
        <v>978</v>
      </c>
      <c r="B783" s="77" t="s">
        <v>62</v>
      </c>
      <c r="C783" s="77" t="s">
        <v>29</v>
      </c>
      <c r="D783" s="77" t="s">
        <v>982</v>
      </c>
      <c r="E783" s="77" t="s">
        <v>983</v>
      </c>
      <c r="F783" s="77" t="s">
        <v>556</v>
      </c>
      <c r="G783" s="77" t="s">
        <v>27</v>
      </c>
      <c r="H783" s="77"/>
    </row>
    <row r="784" spans="1:8" x14ac:dyDescent="0.3">
      <c r="A784" t="s">
        <v>978</v>
      </c>
      <c r="B784" s="77" t="s">
        <v>66</v>
      </c>
      <c r="C784" s="77" t="s">
        <v>29</v>
      </c>
      <c r="D784" s="77" t="s">
        <v>633</v>
      </c>
      <c r="E784" s="77" t="s">
        <v>765</v>
      </c>
      <c r="F784" s="77" t="s">
        <v>547</v>
      </c>
      <c r="G784" s="77" t="s">
        <v>27</v>
      </c>
      <c r="H784" s="77"/>
    </row>
    <row r="785" spans="1:8" x14ac:dyDescent="0.3">
      <c r="A785" t="s">
        <v>978</v>
      </c>
      <c r="B785" s="77" t="s">
        <v>70</v>
      </c>
      <c r="C785" s="77" t="s">
        <v>29</v>
      </c>
      <c r="D785" s="77" t="s">
        <v>959</v>
      </c>
      <c r="E785" s="77" t="s">
        <v>984</v>
      </c>
      <c r="F785" s="77" t="s">
        <v>653</v>
      </c>
      <c r="G785" s="77" t="s">
        <v>27</v>
      </c>
      <c r="H785" s="77"/>
    </row>
    <row r="786" spans="1:8" x14ac:dyDescent="0.3">
      <c r="A786" t="s">
        <v>978</v>
      </c>
      <c r="B786" s="77" t="s">
        <v>75</v>
      </c>
      <c r="C786" s="77" t="s">
        <v>29</v>
      </c>
      <c r="D786" s="77" t="s">
        <v>841</v>
      </c>
      <c r="E786" s="77" t="s">
        <v>985</v>
      </c>
      <c r="F786" s="77" t="s">
        <v>813</v>
      </c>
      <c r="G786" s="77" t="s">
        <v>27</v>
      </c>
      <c r="H786" s="77"/>
    </row>
    <row r="787" spans="1:8" x14ac:dyDescent="0.3">
      <c r="A787" t="s">
        <v>978</v>
      </c>
      <c r="B787" s="77" t="s">
        <v>79</v>
      </c>
      <c r="C787" s="77" t="s">
        <v>29</v>
      </c>
      <c r="D787" s="77" t="s">
        <v>980</v>
      </c>
      <c r="E787" s="77" t="s">
        <v>543</v>
      </c>
      <c r="F787" s="77" t="s">
        <v>984</v>
      </c>
      <c r="G787" s="77" t="s">
        <v>27</v>
      </c>
      <c r="H787" s="77"/>
    </row>
    <row r="788" spans="1:8" x14ac:dyDescent="0.3">
      <c r="A788" t="s">
        <v>978</v>
      </c>
      <c r="B788" s="77" t="s">
        <v>83</v>
      </c>
      <c r="C788" s="77" t="s">
        <v>29</v>
      </c>
      <c r="D788" s="77" t="s">
        <v>812</v>
      </c>
      <c r="E788" s="77" t="s">
        <v>986</v>
      </c>
      <c r="F788" s="77" t="s">
        <v>581</v>
      </c>
      <c r="G788" s="77" t="s">
        <v>27</v>
      </c>
      <c r="H788" s="77"/>
    </row>
    <row r="789" spans="1:8" x14ac:dyDescent="0.3">
      <c r="A789" t="s">
        <v>978</v>
      </c>
      <c r="B789" s="77" t="s">
        <v>88</v>
      </c>
      <c r="C789" s="77" t="s">
        <v>29</v>
      </c>
      <c r="D789" s="77" t="s">
        <v>987</v>
      </c>
      <c r="E789" s="77" t="s">
        <v>273</v>
      </c>
      <c r="F789" s="77" t="s">
        <v>935</v>
      </c>
      <c r="G789" s="77" t="s">
        <v>27</v>
      </c>
      <c r="H789" s="77"/>
    </row>
    <row r="790" spans="1:8" x14ac:dyDescent="0.3">
      <c r="A790" t="s">
        <v>978</v>
      </c>
      <c r="B790" s="77" t="s">
        <v>92</v>
      </c>
      <c r="C790" s="77" t="s">
        <v>29</v>
      </c>
      <c r="D790" s="77" t="s">
        <v>988</v>
      </c>
      <c r="E790" s="77" t="s">
        <v>714</v>
      </c>
      <c r="F790" s="77" t="s">
        <v>989</v>
      </c>
      <c r="G790" s="77" t="s">
        <v>27</v>
      </c>
      <c r="H790" s="77"/>
    </row>
    <row r="791" spans="1:8" x14ac:dyDescent="0.3">
      <c r="A791" t="s">
        <v>978</v>
      </c>
      <c r="B791" s="77" t="s">
        <v>96</v>
      </c>
      <c r="C791" s="77" t="s">
        <v>29</v>
      </c>
      <c r="D791" s="77" t="s">
        <v>990</v>
      </c>
      <c r="E791" s="77" t="s">
        <v>624</v>
      </c>
      <c r="F791" s="77" t="s">
        <v>619</v>
      </c>
      <c r="G791" s="77" t="s">
        <v>27</v>
      </c>
      <c r="H791" s="77"/>
    </row>
    <row r="792" spans="1:8" x14ac:dyDescent="0.3">
      <c r="A792" t="s">
        <v>978</v>
      </c>
      <c r="B792" s="77" t="s">
        <v>100</v>
      </c>
      <c r="C792" s="77" t="s">
        <v>29</v>
      </c>
      <c r="D792" s="77" t="s">
        <v>991</v>
      </c>
      <c r="E792" s="77" t="s">
        <v>992</v>
      </c>
      <c r="F792" s="77" t="s">
        <v>993</v>
      </c>
      <c r="G792" s="77" t="s">
        <v>27</v>
      </c>
      <c r="H792" s="77"/>
    </row>
    <row r="793" spans="1:8" x14ac:dyDescent="0.3">
      <c r="A793" t="s">
        <v>978</v>
      </c>
      <c r="B793" s="77" t="s">
        <v>104</v>
      </c>
      <c r="C793" s="77" t="s">
        <v>29</v>
      </c>
      <c r="D793" s="77" t="s">
        <v>994</v>
      </c>
      <c r="E793" s="77" t="s">
        <v>594</v>
      </c>
      <c r="F793" s="77" t="s">
        <v>262</v>
      </c>
      <c r="G793" s="77" t="s">
        <v>27</v>
      </c>
      <c r="H793" s="77"/>
    </row>
    <row r="794" spans="1:8" x14ac:dyDescent="0.3">
      <c r="A794" t="s">
        <v>978</v>
      </c>
      <c r="B794" s="77" t="s">
        <v>108</v>
      </c>
      <c r="C794" s="77" t="s">
        <v>29</v>
      </c>
      <c r="D794" s="77" t="s">
        <v>995</v>
      </c>
      <c r="E794" s="77" t="s">
        <v>996</v>
      </c>
      <c r="F794" s="77" t="s">
        <v>997</v>
      </c>
      <c r="G794" s="77" t="s">
        <v>27</v>
      </c>
      <c r="H794" s="77"/>
    </row>
    <row r="795" spans="1:8" x14ac:dyDescent="0.3">
      <c r="A795" t="s">
        <v>978</v>
      </c>
      <c r="B795" s="77" t="s">
        <v>112</v>
      </c>
      <c r="C795" s="77" t="s">
        <v>29</v>
      </c>
      <c r="D795" s="77" t="s">
        <v>998</v>
      </c>
      <c r="E795" s="77" t="s">
        <v>941</v>
      </c>
      <c r="F795" s="77" t="s">
        <v>592</v>
      </c>
      <c r="G795" s="77" t="s">
        <v>27</v>
      </c>
      <c r="H795" s="77"/>
    </row>
    <row r="796" spans="1:8" x14ac:dyDescent="0.3">
      <c r="A796" t="s">
        <v>978</v>
      </c>
      <c r="B796" s="77" t="s">
        <v>116</v>
      </c>
      <c r="C796" s="77" t="s">
        <v>29</v>
      </c>
      <c r="D796" s="77" t="s">
        <v>999</v>
      </c>
      <c r="E796" s="77" t="s">
        <v>1000</v>
      </c>
      <c r="F796" s="77" t="s">
        <v>239</v>
      </c>
      <c r="G796" s="77" t="s">
        <v>27</v>
      </c>
      <c r="H796" s="77"/>
    </row>
    <row r="797" spans="1:8" x14ac:dyDescent="0.3">
      <c r="A797" t="s">
        <v>978</v>
      </c>
      <c r="B797" s="77" t="s">
        <v>121</v>
      </c>
      <c r="C797" s="77" t="s">
        <v>29</v>
      </c>
      <c r="D797" s="77" t="s">
        <v>1001</v>
      </c>
      <c r="E797" s="77" t="s">
        <v>1000</v>
      </c>
      <c r="F797" s="77" t="s">
        <v>201</v>
      </c>
      <c r="G797" s="77" t="s">
        <v>27</v>
      </c>
      <c r="H797" s="77"/>
    </row>
    <row r="798" spans="1:8" x14ac:dyDescent="0.3">
      <c r="A798" t="s">
        <v>978</v>
      </c>
      <c r="B798" s="77" t="s">
        <v>125</v>
      </c>
      <c r="C798" s="77" t="s">
        <v>29</v>
      </c>
      <c r="D798" s="77" t="s">
        <v>1002</v>
      </c>
      <c r="E798" s="77" t="s">
        <v>1003</v>
      </c>
      <c r="F798" s="77" t="s">
        <v>665</v>
      </c>
      <c r="G798" s="77" t="s">
        <v>27</v>
      </c>
      <c r="H798" s="77"/>
    </row>
    <row r="799" spans="1:8" x14ac:dyDescent="0.3">
      <c r="A799" t="s">
        <v>978</v>
      </c>
      <c r="B799" s="77" t="s">
        <v>129</v>
      </c>
      <c r="C799" s="77" t="s">
        <v>29</v>
      </c>
      <c r="D799" s="77" t="s">
        <v>1004</v>
      </c>
      <c r="E799" s="77" t="s">
        <v>982</v>
      </c>
      <c r="F799" s="77" t="s">
        <v>833</v>
      </c>
      <c r="G799" s="77" t="s">
        <v>27</v>
      </c>
      <c r="H799" s="77"/>
    </row>
    <row r="800" spans="1:8" x14ac:dyDescent="0.3">
      <c r="A800" t="s">
        <v>978</v>
      </c>
      <c r="B800" s="77" t="s">
        <v>134</v>
      </c>
      <c r="C800" s="77" t="s">
        <v>29</v>
      </c>
      <c r="D800" s="77" t="s">
        <v>1005</v>
      </c>
      <c r="E800" s="77" t="s">
        <v>1006</v>
      </c>
      <c r="F800" s="77" t="s">
        <v>1007</v>
      </c>
      <c r="G800" s="77" t="s">
        <v>27</v>
      </c>
      <c r="H800" s="77"/>
    </row>
    <row r="801" spans="1:8" x14ac:dyDescent="0.3">
      <c r="A801" t="s">
        <v>978</v>
      </c>
      <c r="B801" s="77" t="s">
        <v>138</v>
      </c>
      <c r="C801" s="77" t="s">
        <v>29</v>
      </c>
      <c r="D801" s="77" t="s">
        <v>965</v>
      </c>
      <c r="E801" s="77" t="s">
        <v>1008</v>
      </c>
      <c r="F801" s="77" t="s">
        <v>925</v>
      </c>
      <c r="G801" s="77" t="s">
        <v>27</v>
      </c>
      <c r="H801" s="77"/>
    </row>
    <row r="802" spans="1:8" x14ac:dyDescent="0.3">
      <c r="A802" t="s">
        <v>978</v>
      </c>
      <c r="B802" s="77" t="s">
        <v>142</v>
      </c>
      <c r="C802" s="77" t="s">
        <v>29</v>
      </c>
      <c r="D802" s="77" t="s">
        <v>1009</v>
      </c>
      <c r="E802" s="77" t="s">
        <v>1010</v>
      </c>
      <c r="F802" s="77" t="s">
        <v>908</v>
      </c>
      <c r="G802" s="77" t="s">
        <v>27</v>
      </c>
      <c r="H802" s="77"/>
    </row>
    <row r="803" spans="1:8" x14ac:dyDescent="0.3">
      <c r="A803" t="s">
        <v>978</v>
      </c>
      <c r="B803" s="77" t="s">
        <v>147</v>
      </c>
      <c r="C803" s="77" t="s">
        <v>29</v>
      </c>
      <c r="D803" s="77" t="s">
        <v>1011</v>
      </c>
      <c r="E803" s="77" t="s">
        <v>961</v>
      </c>
      <c r="F803" s="77" t="s">
        <v>708</v>
      </c>
      <c r="G803" s="77" t="s">
        <v>27</v>
      </c>
      <c r="H803" s="77"/>
    </row>
    <row r="804" spans="1:8" x14ac:dyDescent="0.3">
      <c r="A804" t="s">
        <v>978</v>
      </c>
      <c r="B804" s="77" t="s">
        <v>151</v>
      </c>
      <c r="C804" s="77" t="s">
        <v>29</v>
      </c>
      <c r="D804" s="77" t="s">
        <v>1012</v>
      </c>
      <c r="E804" s="77" t="s">
        <v>1013</v>
      </c>
      <c r="F804" s="77" t="s">
        <v>1014</v>
      </c>
      <c r="G804" s="77" t="s">
        <v>27</v>
      </c>
      <c r="H804" s="77"/>
    </row>
    <row r="805" spans="1:8" x14ac:dyDescent="0.3">
      <c r="A805" t="s">
        <v>978</v>
      </c>
      <c r="B805" s="77" t="s">
        <v>155</v>
      </c>
      <c r="C805" s="77" t="s">
        <v>29</v>
      </c>
      <c r="D805" s="77" t="s">
        <v>1015</v>
      </c>
      <c r="E805" s="77" t="s">
        <v>1016</v>
      </c>
      <c r="F805" s="77" t="s">
        <v>1017</v>
      </c>
      <c r="G805" s="77" t="s">
        <v>27</v>
      </c>
      <c r="H805" s="77"/>
    </row>
    <row r="806" spans="1:8" x14ac:dyDescent="0.3">
      <c r="A806" t="s">
        <v>978</v>
      </c>
      <c r="B806" s="77" t="s">
        <v>159</v>
      </c>
      <c r="C806" s="77" t="s">
        <v>29</v>
      </c>
      <c r="D806" s="77" t="s">
        <v>1018</v>
      </c>
      <c r="E806" s="77" t="s">
        <v>1019</v>
      </c>
      <c r="F806" s="77" t="s">
        <v>1020</v>
      </c>
      <c r="G806" s="77" t="s">
        <v>27</v>
      </c>
      <c r="H806" s="77"/>
    </row>
    <row r="807" spans="1:8" x14ac:dyDescent="0.3">
      <c r="A807" t="s">
        <v>978</v>
      </c>
      <c r="B807" s="77" t="s">
        <v>163</v>
      </c>
      <c r="C807" s="77" t="s">
        <v>29</v>
      </c>
      <c r="D807" s="77" t="s">
        <v>1021</v>
      </c>
      <c r="E807" s="77" t="s">
        <v>1022</v>
      </c>
      <c r="F807" s="77" t="s">
        <v>1023</v>
      </c>
      <c r="G807" s="77" t="s">
        <v>27</v>
      </c>
      <c r="H807" s="77"/>
    </row>
    <row r="808" spans="1:8" x14ac:dyDescent="0.3">
      <c r="A808" t="s">
        <v>978</v>
      </c>
      <c r="B808" s="77" t="s">
        <v>166</v>
      </c>
      <c r="C808" s="77" t="s">
        <v>29</v>
      </c>
      <c r="D808" s="77" t="s">
        <v>1024</v>
      </c>
      <c r="E808" s="77" t="s">
        <v>1025</v>
      </c>
      <c r="F808" s="77" t="s">
        <v>1026</v>
      </c>
      <c r="G808" s="77" t="s">
        <v>27</v>
      </c>
      <c r="H808" s="77"/>
    </row>
    <row r="809" spans="1:8" x14ac:dyDescent="0.3">
      <c r="A809" t="s">
        <v>978</v>
      </c>
      <c r="B809" s="77" t="s">
        <v>170</v>
      </c>
      <c r="C809" s="77" t="s">
        <v>29</v>
      </c>
      <c r="D809" s="77" t="s">
        <v>1027</v>
      </c>
      <c r="E809" s="77" t="s">
        <v>1028</v>
      </c>
      <c r="F809" s="77" t="s">
        <v>876</v>
      </c>
      <c r="G809" s="77" t="s">
        <v>27</v>
      </c>
      <c r="H809" s="77"/>
    </row>
    <row r="810" spans="1:8" x14ac:dyDescent="0.3">
      <c r="A810" t="s">
        <v>978</v>
      </c>
      <c r="B810" s="77" t="s">
        <v>175</v>
      </c>
      <c r="C810" s="77" t="s">
        <v>29</v>
      </c>
      <c r="D810" s="77" t="s">
        <v>1029</v>
      </c>
      <c r="E810" s="77" t="s">
        <v>1030</v>
      </c>
      <c r="F810" s="77" t="s">
        <v>1030</v>
      </c>
      <c r="G810" s="77" t="s">
        <v>27</v>
      </c>
      <c r="H810" s="77"/>
    </row>
    <row r="811" spans="1:8" x14ac:dyDescent="0.3">
      <c r="A811" t="s">
        <v>978</v>
      </c>
      <c r="B811" s="77" t="s">
        <v>179</v>
      </c>
      <c r="C811" s="77" t="s">
        <v>29</v>
      </c>
      <c r="D811" s="77" t="s">
        <v>1031</v>
      </c>
      <c r="E811" s="77" t="s">
        <v>1028</v>
      </c>
      <c r="F811" s="77" t="s">
        <v>724</v>
      </c>
      <c r="G811" s="77" t="s">
        <v>27</v>
      </c>
      <c r="H811" s="77"/>
    </row>
    <row r="812" spans="1:8" x14ac:dyDescent="0.3">
      <c r="A812" t="s">
        <v>1032</v>
      </c>
      <c r="B812" s="77" t="s">
        <v>33</v>
      </c>
      <c r="C812" s="77" t="s">
        <v>29</v>
      </c>
      <c r="D812" s="77" t="s">
        <v>1033</v>
      </c>
      <c r="E812" s="77" t="s">
        <v>1034</v>
      </c>
      <c r="F812" s="77" t="s">
        <v>807</v>
      </c>
      <c r="G812" s="77" t="s">
        <v>27</v>
      </c>
      <c r="H812" s="77"/>
    </row>
    <row r="813" spans="1:8" x14ac:dyDescent="0.3">
      <c r="A813" t="s">
        <v>1032</v>
      </c>
      <c r="B813" s="77" t="s">
        <v>38</v>
      </c>
      <c r="C813" s="77" t="s">
        <v>29</v>
      </c>
      <c r="D813" s="77" t="s">
        <v>1035</v>
      </c>
      <c r="E813" s="77" t="s">
        <v>669</v>
      </c>
      <c r="F813" s="77" t="s">
        <v>637</v>
      </c>
      <c r="G813" s="77" t="s">
        <v>27</v>
      </c>
      <c r="H813" s="77"/>
    </row>
    <row r="814" spans="1:8" x14ac:dyDescent="0.3">
      <c r="A814" t="s">
        <v>1032</v>
      </c>
      <c r="B814" s="77" t="s">
        <v>43</v>
      </c>
      <c r="C814" s="77" t="s">
        <v>29</v>
      </c>
      <c r="D814" s="77" t="s">
        <v>1036</v>
      </c>
      <c r="E814" s="77" t="s">
        <v>587</v>
      </c>
      <c r="F814" s="77" t="s">
        <v>1037</v>
      </c>
      <c r="G814" s="77" t="s">
        <v>27</v>
      </c>
      <c r="H814" s="77"/>
    </row>
    <row r="815" spans="1:8" x14ac:dyDescent="0.3">
      <c r="A815" t="s">
        <v>1032</v>
      </c>
      <c r="B815" s="77" t="s">
        <v>47</v>
      </c>
      <c r="C815" s="77" t="s">
        <v>29</v>
      </c>
      <c r="D815" s="77" t="s">
        <v>1038</v>
      </c>
      <c r="E815" s="77" t="s">
        <v>617</v>
      </c>
      <c r="F815" s="77" t="s">
        <v>1037</v>
      </c>
      <c r="G815" s="77" t="s">
        <v>74</v>
      </c>
      <c r="H815" s="77"/>
    </row>
    <row r="816" spans="1:8" x14ac:dyDescent="0.3">
      <c r="A816" t="s">
        <v>1032</v>
      </c>
      <c r="B816" s="77" t="s">
        <v>52</v>
      </c>
      <c r="C816" s="77" t="s">
        <v>29</v>
      </c>
      <c r="D816" s="77" t="s">
        <v>1039</v>
      </c>
      <c r="E816" s="77" t="s">
        <v>262</v>
      </c>
      <c r="F816" s="77" t="s">
        <v>869</v>
      </c>
      <c r="G816" s="77" t="s">
        <v>27</v>
      </c>
      <c r="H816" s="77"/>
    </row>
    <row r="817" spans="1:8" x14ac:dyDescent="0.3">
      <c r="A817" t="s">
        <v>1032</v>
      </c>
      <c r="B817" s="77" t="s">
        <v>57</v>
      </c>
      <c r="C817" s="77" t="s">
        <v>29</v>
      </c>
      <c r="D817" s="77" t="s">
        <v>1040</v>
      </c>
      <c r="E817" s="77" t="s">
        <v>894</v>
      </c>
      <c r="F817" s="77" t="s">
        <v>687</v>
      </c>
      <c r="G817" s="77" t="s">
        <v>74</v>
      </c>
      <c r="H817" s="77"/>
    </row>
    <row r="818" spans="1:8" x14ac:dyDescent="0.3">
      <c r="A818" t="s">
        <v>1032</v>
      </c>
      <c r="B818" s="77" t="s">
        <v>62</v>
      </c>
      <c r="C818" s="77" t="s">
        <v>29</v>
      </c>
      <c r="D818" s="77" t="s">
        <v>1041</v>
      </c>
      <c r="E818" s="77" t="s">
        <v>1042</v>
      </c>
      <c r="F818" s="77" t="s">
        <v>1030</v>
      </c>
      <c r="G818" s="77" t="s">
        <v>27</v>
      </c>
      <c r="H818" s="77"/>
    </row>
    <row r="819" spans="1:8" x14ac:dyDescent="0.3">
      <c r="A819" t="s">
        <v>1032</v>
      </c>
      <c r="B819" s="77" t="s">
        <v>66</v>
      </c>
      <c r="C819" s="77" t="s">
        <v>29</v>
      </c>
      <c r="D819" s="77" t="s">
        <v>1043</v>
      </c>
      <c r="E819" s="77" t="s">
        <v>1044</v>
      </c>
      <c r="F819" s="77" t="s">
        <v>1045</v>
      </c>
      <c r="G819" s="77" t="s">
        <v>27</v>
      </c>
      <c r="H819" s="77"/>
    </row>
    <row r="820" spans="1:8" x14ac:dyDescent="0.3">
      <c r="A820" t="s">
        <v>1032</v>
      </c>
      <c r="B820" s="77" t="s">
        <v>70</v>
      </c>
      <c r="C820" s="77" t="s">
        <v>29</v>
      </c>
      <c r="D820" s="77" t="s">
        <v>1046</v>
      </c>
      <c r="E820" s="77" t="s">
        <v>1047</v>
      </c>
      <c r="F820" s="77" t="s">
        <v>1048</v>
      </c>
      <c r="G820" s="77" t="s">
        <v>74</v>
      </c>
      <c r="H820" s="77"/>
    </row>
    <row r="821" spans="1:8" x14ac:dyDescent="0.3">
      <c r="A821" t="s">
        <v>1032</v>
      </c>
      <c r="B821" s="77" t="s">
        <v>75</v>
      </c>
      <c r="C821" s="77" t="s">
        <v>29</v>
      </c>
      <c r="D821" s="77" t="s">
        <v>1049</v>
      </c>
      <c r="E821" s="77" t="s">
        <v>893</v>
      </c>
      <c r="F821" s="77" t="s">
        <v>789</v>
      </c>
      <c r="G821" s="77" t="s">
        <v>27</v>
      </c>
      <c r="H821" s="77"/>
    </row>
    <row r="822" spans="1:8" x14ac:dyDescent="0.3">
      <c r="A822" t="s">
        <v>1032</v>
      </c>
      <c r="B822" s="77" t="s">
        <v>79</v>
      </c>
      <c r="C822" s="77" t="s">
        <v>29</v>
      </c>
      <c r="D822" s="77" t="s">
        <v>1050</v>
      </c>
      <c r="E822" s="77" t="s">
        <v>744</v>
      </c>
      <c r="F822" s="77" t="s">
        <v>961</v>
      </c>
      <c r="G822" s="77" t="s">
        <v>27</v>
      </c>
      <c r="H822" s="77"/>
    </row>
    <row r="823" spans="1:8" x14ac:dyDescent="0.3">
      <c r="A823" t="s">
        <v>1032</v>
      </c>
      <c r="B823" s="77" t="s">
        <v>83</v>
      </c>
      <c r="C823" s="77" t="s">
        <v>29</v>
      </c>
      <c r="D823" s="77" t="s">
        <v>1051</v>
      </c>
      <c r="E823" s="77" t="s">
        <v>733</v>
      </c>
      <c r="F823" s="77" t="s">
        <v>1052</v>
      </c>
      <c r="G823" s="77" t="s">
        <v>27</v>
      </c>
      <c r="H823" s="77"/>
    </row>
    <row r="824" spans="1:8" x14ac:dyDescent="0.3">
      <c r="A824" t="s">
        <v>1032</v>
      </c>
      <c r="B824" s="77" t="s">
        <v>88</v>
      </c>
      <c r="C824" s="77" t="s">
        <v>29</v>
      </c>
      <c r="D824" s="77" t="s">
        <v>1053</v>
      </c>
      <c r="E824" s="77" t="s">
        <v>922</v>
      </c>
      <c r="F824" s="77" t="s">
        <v>1052</v>
      </c>
      <c r="G824" s="77" t="s">
        <v>27</v>
      </c>
      <c r="H824" s="77"/>
    </row>
    <row r="825" spans="1:8" x14ac:dyDescent="0.3">
      <c r="A825" t="s">
        <v>1032</v>
      </c>
      <c r="B825" s="77" t="s">
        <v>92</v>
      </c>
      <c r="C825" s="77" t="s">
        <v>29</v>
      </c>
      <c r="D825" s="77" t="s">
        <v>1054</v>
      </c>
      <c r="E825" s="77" t="s">
        <v>1055</v>
      </c>
      <c r="F825" s="77" t="s">
        <v>855</v>
      </c>
      <c r="G825" s="77" t="s">
        <v>27</v>
      </c>
      <c r="H825" s="77"/>
    </row>
    <row r="826" spans="1:8" x14ac:dyDescent="0.3">
      <c r="A826" t="s">
        <v>1032</v>
      </c>
      <c r="B826" s="77" t="s">
        <v>96</v>
      </c>
      <c r="C826" s="77" t="s">
        <v>29</v>
      </c>
      <c r="D826" s="77" t="s">
        <v>1056</v>
      </c>
      <c r="E826" s="77" t="s">
        <v>753</v>
      </c>
      <c r="F826" s="77" t="s">
        <v>816</v>
      </c>
      <c r="G826" s="77" t="s">
        <v>27</v>
      </c>
      <c r="H826" s="77"/>
    </row>
    <row r="827" spans="1:8" x14ac:dyDescent="0.3">
      <c r="A827" t="s">
        <v>1032</v>
      </c>
      <c r="B827" s="77" t="s">
        <v>100</v>
      </c>
      <c r="C827" s="77" t="s">
        <v>29</v>
      </c>
      <c r="D827" s="77" t="s">
        <v>1057</v>
      </c>
      <c r="E827" s="77" t="s">
        <v>952</v>
      </c>
      <c r="F827" s="77" t="s">
        <v>773</v>
      </c>
      <c r="G827" s="77" t="s">
        <v>27</v>
      </c>
      <c r="H827" s="77"/>
    </row>
    <row r="828" spans="1:8" x14ac:dyDescent="0.3">
      <c r="A828" t="s">
        <v>1032</v>
      </c>
      <c r="B828" s="77" t="s">
        <v>104</v>
      </c>
      <c r="C828" s="77" t="s">
        <v>29</v>
      </c>
      <c r="D828" s="77" t="s">
        <v>1057</v>
      </c>
      <c r="E828" s="77" t="s">
        <v>1058</v>
      </c>
      <c r="F828" s="77" t="s">
        <v>1059</v>
      </c>
      <c r="G828" s="77" t="s">
        <v>27</v>
      </c>
      <c r="H828" s="77"/>
    </row>
    <row r="829" spans="1:8" x14ac:dyDescent="0.3">
      <c r="A829" t="s">
        <v>1032</v>
      </c>
      <c r="B829" s="77" t="s">
        <v>108</v>
      </c>
      <c r="C829" s="77" t="s">
        <v>29</v>
      </c>
      <c r="D829" s="77" t="s">
        <v>1060</v>
      </c>
      <c r="E829" s="77" t="s">
        <v>635</v>
      </c>
      <c r="F829" s="77" t="s">
        <v>1061</v>
      </c>
      <c r="G829" s="77" t="s">
        <v>27</v>
      </c>
      <c r="H829" s="77"/>
    </row>
    <row r="830" spans="1:8" x14ac:dyDescent="0.3">
      <c r="A830" t="s">
        <v>1032</v>
      </c>
      <c r="B830" s="77" t="s">
        <v>112</v>
      </c>
      <c r="C830" s="77" t="s">
        <v>29</v>
      </c>
      <c r="D830" s="77" t="s">
        <v>1062</v>
      </c>
      <c r="E830" s="77" t="s">
        <v>1063</v>
      </c>
      <c r="F830" s="77" t="s">
        <v>634</v>
      </c>
      <c r="G830" s="77" t="s">
        <v>27</v>
      </c>
      <c r="H830" s="77"/>
    </row>
    <row r="831" spans="1:8" x14ac:dyDescent="0.3">
      <c r="A831" t="s">
        <v>1032</v>
      </c>
      <c r="B831" s="77" t="s">
        <v>116</v>
      </c>
      <c r="C831" s="77" t="s">
        <v>29</v>
      </c>
      <c r="D831" s="77" t="s">
        <v>1064</v>
      </c>
      <c r="E831" s="77" t="s">
        <v>1065</v>
      </c>
      <c r="F831" s="77" t="s">
        <v>1066</v>
      </c>
      <c r="G831" s="77" t="s">
        <v>27</v>
      </c>
      <c r="H831" s="77"/>
    </row>
    <row r="832" spans="1:8" x14ac:dyDescent="0.3">
      <c r="A832" t="s">
        <v>1032</v>
      </c>
      <c r="B832" s="77" t="s">
        <v>121</v>
      </c>
      <c r="C832" s="77" t="s">
        <v>29</v>
      </c>
      <c r="D832" s="77" t="s">
        <v>1067</v>
      </c>
      <c r="E832" s="77" t="s">
        <v>1068</v>
      </c>
      <c r="F832" s="77" t="s">
        <v>1004</v>
      </c>
      <c r="G832" s="77" t="s">
        <v>27</v>
      </c>
      <c r="H832" s="77"/>
    </row>
    <row r="833" spans="1:8" x14ac:dyDescent="0.3">
      <c r="A833" t="s">
        <v>1032</v>
      </c>
      <c r="B833" s="77" t="s">
        <v>125</v>
      </c>
      <c r="C833" s="77" t="s">
        <v>29</v>
      </c>
      <c r="D833" s="77" t="s">
        <v>1069</v>
      </c>
      <c r="E833" s="77" t="s">
        <v>1070</v>
      </c>
      <c r="F833" s="77" t="s">
        <v>1071</v>
      </c>
      <c r="G833" s="77" t="s">
        <v>27</v>
      </c>
      <c r="H833" s="77"/>
    </row>
    <row r="834" spans="1:8" x14ac:dyDescent="0.3">
      <c r="A834" t="s">
        <v>1032</v>
      </c>
      <c r="B834" s="77" t="s">
        <v>129</v>
      </c>
      <c r="C834" s="77" t="s">
        <v>29</v>
      </c>
      <c r="D834" s="77" t="s">
        <v>1072</v>
      </c>
      <c r="E834" s="77" t="s">
        <v>1073</v>
      </c>
      <c r="F834" s="77" t="s">
        <v>1074</v>
      </c>
      <c r="G834" s="77" t="s">
        <v>27</v>
      </c>
      <c r="H834" s="77"/>
    </row>
    <row r="835" spans="1:8" x14ac:dyDescent="0.3">
      <c r="A835" t="s">
        <v>1032</v>
      </c>
      <c r="B835" s="77" t="s">
        <v>134</v>
      </c>
      <c r="C835" s="77" t="s">
        <v>29</v>
      </c>
      <c r="D835" s="77" t="s">
        <v>1075</v>
      </c>
      <c r="E835" s="77" t="s">
        <v>1076</v>
      </c>
      <c r="F835" s="77" t="s">
        <v>1077</v>
      </c>
      <c r="G835" s="77" t="s">
        <v>27</v>
      </c>
      <c r="H835" s="77"/>
    </row>
    <row r="836" spans="1:8" x14ac:dyDescent="0.3">
      <c r="A836" t="s">
        <v>1032</v>
      </c>
      <c r="B836" s="77" t="s">
        <v>138</v>
      </c>
      <c r="C836" s="77" t="s">
        <v>29</v>
      </c>
      <c r="D836" s="77" t="s">
        <v>1078</v>
      </c>
      <c r="E836" s="77" t="s">
        <v>891</v>
      </c>
      <c r="F836" s="77" t="s">
        <v>1079</v>
      </c>
      <c r="G836" s="77" t="s">
        <v>27</v>
      </c>
      <c r="H836" s="77"/>
    </row>
    <row r="837" spans="1:8" x14ac:dyDescent="0.3">
      <c r="A837" t="s">
        <v>1032</v>
      </c>
      <c r="B837" s="77" t="s">
        <v>142</v>
      </c>
      <c r="C837" s="77" t="s">
        <v>29</v>
      </c>
      <c r="D837" s="77" t="s">
        <v>1080</v>
      </c>
      <c r="E837" s="77" t="s">
        <v>1081</v>
      </c>
      <c r="F837" s="77" t="s">
        <v>1015</v>
      </c>
      <c r="G837" s="77" t="s">
        <v>27</v>
      </c>
      <c r="H837" s="77"/>
    </row>
    <row r="838" spans="1:8" x14ac:dyDescent="0.3">
      <c r="A838" t="s">
        <v>1032</v>
      </c>
      <c r="B838" s="77" t="s">
        <v>147</v>
      </c>
      <c r="C838" s="77" t="s">
        <v>29</v>
      </c>
      <c r="D838" s="77" t="s">
        <v>1082</v>
      </c>
      <c r="E838" s="77" t="s">
        <v>1083</v>
      </c>
      <c r="F838" s="77" t="s">
        <v>1084</v>
      </c>
      <c r="G838" s="77" t="s">
        <v>27</v>
      </c>
      <c r="H838" s="77"/>
    </row>
    <row r="839" spans="1:8" x14ac:dyDescent="0.3">
      <c r="A839" t="s">
        <v>1032</v>
      </c>
      <c r="B839" s="77" t="s">
        <v>151</v>
      </c>
      <c r="C839" s="77" t="s">
        <v>29</v>
      </c>
      <c r="D839" s="77" t="s">
        <v>1085</v>
      </c>
      <c r="E839" s="77" t="s">
        <v>1086</v>
      </c>
      <c r="F839" s="77" t="s">
        <v>1087</v>
      </c>
      <c r="G839" s="77" t="s">
        <v>74</v>
      </c>
      <c r="H839" s="77"/>
    </row>
    <row r="840" spans="1:8" x14ac:dyDescent="0.3">
      <c r="A840" t="s">
        <v>1032</v>
      </c>
      <c r="B840" s="77" t="s">
        <v>155</v>
      </c>
      <c r="C840" s="77" t="s">
        <v>29</v>
      </c>
      <c r="D840" s="77" t="s">
        <v>1088</v>
      </c>
      <c r="E840" s="77" t="s">
        <v>1089</v>
      </c>
      <c r="F840" s="77" t="s">
        <v>1090</v>
      </c>
      <c r="G840" s="77" t="s">
        <v>27</v>
      </c>
      <c r="H840" s="77"/>
    </row>
    <row r="841" spans="1:8" x14ac:dyDescent="0.3">
      <c r="A841" t="s">
        <v>1032</v>
      </c>
      <c r="B841" s="77" t="s">
        <v>159</v>
      </c>
      <c r="C841" s="77" t="s">
        <v>29</v>
      </c>
      <c r="D841" s="77" t="s">
        <v>1091</v>
      </c>
      <c r="E841" s="77" t="s">
        <v>1092</v>
      </c>
      <c r="F841" s="77" t="s">
        <v>1093</v>
      </c>
      <c r="G841" s="77" t="s">
        <v>27</v>
      </c>
      <c r="H841" s="77"/>
    </row>
    <row r="842" spans="1:8" x14ac:dyDescent="0.3">
      <c r="A842" t="s">
        <v>1032</v>
      </c>
      <c r="B842" s="77" t="s">
        <v>163</v>
      </c>
      <c r="C842" s="77" t="s">
        <v>29</v>
      </c>
      <c r="D842" s="77" t="s">
        <v>1094</v>
      </c>
      <c r="E842" s="77" t="s">
        <v>1095</v>
      </c>
      <c r="F842" s="77" t="s">
        <v>1096</v>
      </c>
      <c r="G842" s="77" t="s">
        <v>27</v>
      </c>
      <c r="H842" s="77"/>
    </row>
    <row r="843" spans="1:8" x14ac:dyDescent="0.3">
      <c r="A843" t="s">
        <v>1032</v>
      </c>
      <c r="B843" s="77" t="s">
        <v>166</v>
      </c>
      <c r="C843" s="77" t="s">
        <v>29</v>
      </c>
      <c r="D843" s="77" t="s">
        <v>1097</v>
      </c>
      <c r="E843" s="77" t="s">
        <v>1098</v>
      </c>
      <c r="F843" s="77" t="s">
        <v>1099</v>
      </c>
      <c r="G843" s="77" t="s">
        <v>27</v>
      </c>
      <c r="H843" s="77"/>
    </row>
    <row r="844" spans="1:8" x14ac:dyDescent="0.3">
      <c r="A844" t="s">
        <v>1032</v>
      </c>
      <c r="B844" s="77" t="s">
        <v>170</v>
      </c>
      <c r="C844" s="77" t="s">
        <v>29</v>
      </c>
      <c r="D844" s="77" t="s">
        <v>1100</v>
      </c>
      <c r="E844" s="77" t="s">
        <v>1101</v>
      </c>
      <c r="F844" s="77" t="s">
        <v>1102</v>
      </c>
      <c r="G844" s="77" t="s">
        <v>27</v>
      </c>
      <c r="H844" s="77"/>
    </row>
    <row r="845" spans="1:8" x14ac:dyDescent="0.3">
      <c r="A845" t="s">
        <v>1032</v>
      </c>
      <c r="B845" s="77" t="s">
        <v>175</v>
      </c>
      <c r="C845" s="77" t="s">
        <v>29</v>
      </c>
      <c r="D845" s="77" t="s">
        <v>1103</v>
      </c>
      <c r="E845" s="77" t="s">
        <v>1104</v>
      </c>
      <c r="F845" s="77" t="s">
        <v>1105</v>
      </c>
      <c r="G845" s="77" t="s">
        <v>27</v>
      </c>
      <c r="H845" s="77"/>
    </row>
    <row r="846" spans="1:8" x14ac:dyDescent="0.3">
      <c r="A846" t="s">
        <v>1032</v>
      </c>
      <c r="B846" s="77" t="s">
        <v>179</v>
      </c>
      <c r="C846" s="77" t="s">
        <v>29</v>
      </c>
      <c r="D846" s="77" t="s">
        <v>1106</v>
      </c>
      <c r="E846" s="77" t="s">
        <v>1107</v>
      </c>
      <c r="F846" s="77" t="s">
        <v>1108</v>
      </c>
      <c r="G846" s="77" t="s">
        <v>27</v>
      </c>
      <c r="H846" s="77"/>
    </row>
    <row r="847" spans="1:8" x14ac:dyDescent="0.3">
      <c r="A847" t="s">
        <v>32</v>
      </c>
      <c r="B847" s="77" t="s">
        <v>33</v>
      </c>
      <c r="C847" s="77" t="s">
        <v>29</v>
      </c>
      <c r="D847" s="77" t="s">
        <v>441</v>
      </c>
      <c r="E847" s="77" t="s">
        <v>335</v>
      </c>
      <c r="F847" s="77" t="s">
        <v>414</v>
      </c>
      <c r="G847" s="77" t="s">
        <v>174</v>
      </c>
      <c r="H847" s="77"/>
    </row>
    <row r="848" spans="1:8" x14ac:dyDescent="0.3">
      <c r="A848" t="s">
        <v>32</v>
      </c>
      <c r="B848" s="77" t="s">
        <v>38</v>
      </c>
      <c r="C848" s="77" t="s">
        <v>29</v>
      </c>
      <c r="D848" s="77" t="s">
        <v>368</v>
      </c>
      <c r="E848" s="77" t="s">
        <v>348</v>
      </c>
      <c r="F848" s="77" t="s">
        <v>370</v>
      </c>
      <c r="G848" s="77" t="s">
        <v>74</v>
      </c>
      <c r="H848" s="77"/>
    </row>
    <row r="849" spans="1:8" x14ac:dyDescent="0.3">
      <c r="A849" t="s">
        <v>32</v>
      </c>
      <c r="B849" s="77" t="s">
        <v>43</v>
      </c>
      <c r="C849" s="77" t="s">
        <v>29</v>
      </c>
      <c r="D849" s="77" t="s">
        <v>533</v>
      </c>
      <c r="E849" s="77" t="s">
        <v>397</v>
      </c>
      <c r="F849" s="77" t="s">
        <v>335</v>
      </c>
      <c r="G849" s="77" t="s">
        <v>27</v>
      </c>
      <c r="H849" s="77"/>
    </row>
    <row r="850" spans="1:8" x14ac:dyDescent="0.3">
      <c r="A850" t="s">
        <v>32</v>
      </c>
      <c r="B850" s="77" t="s">
        <v>47</v>
      </c>
      <c r="C850" s="77" t="s">
        <v>29</v>
      </c>
      <c r="D850" s="77" t="s">
        <v>342</v>
      </c>
      <c r="E850" s="77" t="s">
        <v>383</v>
      </c>
      <c r="F850" s="77" t="s">
        <v>404</v>
      </c>
      <c r="G850" s="77" t="s">
        <v>27</v>
      </c>
      <c r="H850" s="77"/>
    </row>
    <row r="851" spans="1:8" x14ac:dyDescent="0.3">
      <c r="A851" t="s">
        <v>32</v>
      </c>
      <c r="B851" s="77" t="s">
        <v>52</v>
      </c>
      <c r="C851" s="77" t="s">
        <v>29</v>
      </c>
      <c r="D851" s="77" t="s">
        <v>355</v>
      </c>
      <c r="E851" s="77" t="s">
        <v>385</v>
      </c>
      <c r="F851" s="77" t="s">
        <v>373</v>
      </c>
      <c r="G851" s="77" t="s">
        <v>27</v>
      </c>
      <c r="H851" s="77"/>
    </row>
    <row r="852" spans="1:8" x14ac:dyDescent="0.3">
      <c r="A852" t="s">
        <v>32</v>
      </c>
      <c r="B852" s="77" t="s">
        <v>57</v>
      </c>
      <c r="C852" s="77" t="s">
        <v>29</v>
      </c>
      <c r="D852" s="77" t="s">
        <v>319</v>
      </c>
      <c r="E852" s="77" t="s">
        <v>379</v>
      </c>
      <c r="F852" s="77" t="s">
        <v>356</v>
      </c>
      <c r="G852" s="77" t="s">
        <v>27</v>
      </c>
      <c r="H852" s="77"/>
    </row>
    <row r="853" spans="1:8" x14ac:dyDescent="0.3">
      <c r="A853" t="s">
        <v>32</v>
      </c>
      <c r="B853" s="77" t="s">
        <v>62</v>
      </c>
      <c r="C853" s="77" t="s">
        <v>29</v>
      </c>
      <c r="D853" s="77" t="s">
        <v>417</v>
      </c>
      <c r="E853" s="77" t="s">
        <v>404</v>
      </c>
      <c r="F853" s="77" t="s">
        <v>374</v>
      </c>
      <c r="G853" s="77" t="s">
        <v>27</v>
      </c>
      <c r="H853" s="77"/>
    </row>
    <row r="854" spans="1:8" x14ac:dyDescent="0.3">
      <c r="A854" t="s">
        <v>32</v>
      </c>
      <c r="B854" s="77" t="s">
        <v>66</v>
      </c>
      <c r="C854" s="77" t="s">
        <v>29</v>
      </c>
      <c r="D854" s="77" t="s">
        <v>334</v>
      </c>
      <c r="E854" s="77" t="s">
        <v>373</v>
      </c>
      <c r="F854" s="77" t="s">
        <v>380</v>
      </c>
      <c r="G854" s="77" t="s">
        <v>27</v>
      </c>
      <c r="H854" s="77"/>
    </row>
    <row r="855" spans="1:8" x14ac:dyDescent="0.3">
      <c r="A855" t="s">
        <v>32</v>
      </c>
      <c r="B855" s="77" t="s">
        <v>70</v>
      </c>
      <c r="C855" s="77" t="s">
        <v>29</v>
      </c>
      <c r="D855" s="77" t="s">
        <v>309</v>
      </c>
      <c r="E855" s="77" t="s">
        <v>387</v>
      </c>
      <c r="F855" s="77" t="s">
        <v>325</v>
      </c>
      <c r="G855" s="77" t="s">
        <v>27</v>
      </c>
      <c r="H855" s="77"/>
    </row>
    <row r="856" spans="1:8" x14ac:dyDescent="0.3">
      <c r="A856" t="s">
        <v>32</v>
      </c>
      <c r="B856" s="77" t="s">
        <v>75</v>
      </c>
      <c r="C856" s="77" t="s">
        <v>29</v>
      </c>
      <c r="D856" s="77" t="s">
        <v>409</v>
      </c>
      <c r="E856" s="77" t="s">
        <v>387</v>
      </c>
      <c r="F856" s="77" t="s">
        <v>345</v>
      </c>
      <c r="G856" s="77" t="s">
        <v>27</v>
      </c>
      <c r="H856" s="77"/>
    </row>
    <row r="857" spans="1:8" x14ac:dyDescent="0.3">
      <c r="A857" t="s">
        <v>32</v>
      </c>
      <c r="B857" s="77" t="s">
        <v>79</v>
      </c>
      <c r="C857" s="77" t="s">
        <v>29</v>
      </c>
      <c r="D857" s="77" t="s">
        <v>319</v>
      </c>
      <c r="E857" s="77" t="s">
        <v>353</v>
      </c>
      <c r="F857" s="77" t="s">
        <v>382</v>
      </c>
      <c r="G857" s="77" t="s">
        <v>56</v>
      </c>
      <c r="H857" s="77"/>
    </row>
    <row r="858" spans="1:8" x14ac:dyDescent="0.3">
      <c r="A858" t="s">
        <v>32</v>
      </c>
      <c r="B858" s="77" t="s">
        <v>83</v>
      </c>
      <c r="C858" s="77" t="s">
        <v>29</v>
      </c>
      <c r="D858" s="77" t="s">
        <v>408</v>
      </c>
      <c r="E858" s="77" t="s">
        <v>353</v>
      </c>
      <c r="F858" s="77" t="s">
        <v>373</v>
      </c>
      <c r="G858" s="77" t="s">
        <v>27</v>
      </c>
      <c r="H858" s="77"/>
    </row>
    <row r="859" spans="1:8" x14ac:dyDescent="0.3">
      <c r="A859" t="s">
        <v>32</v>
      </c>
      <c r="B859" s="77" t="s">
        <v>88</v>
      </c>
      <c r="C859" s="77" t="s">
        <v>29</v>
      </c>
      <c r="D859" s="77" t="s">
        <v>344</v>
      </c>
      <c r="E859" s="77" t="s">
        <v>120</v>
      </c>
      <c r="F859" s="77" t="s">
        <v>373</v>
      </c>
      <c r="G859" s="77" t="s">
        <v>27</v>
      </c>
      <c r="H859" s="77"/>
    </row>
    <row r="860" spans="1:8" x14ac:dyDescent="0.3">
      <c r="A860" t="s">
        <v>32</v>
      </c>
      <c r="B860" s="77" t="s">
        <v>92</v>
      </c>
      <c r="C860" s="77" t="s">
        <v>29</v>
      </c>
      <c r="D860" s="77" t="s">
        <v>414</v>
      </c>
      <c r="E860" s="77" t="s">
        <v>355</v>
      </c>
      <c r="F860" s="77" t="s">
        <v>356</v>
      </c>
      <c r="G860" s="77" t="s">
        <v>27</v>
      </c>
      <c r="H860" s="77"/>
    </row>
    <row r="861" spans="1:8" x14ac:dyDescent="0.3">
      <c r="A861" t="s">
        <v>32</v>
      </c>
      <c r="B861" s="77" t="s">
        <v>96</v>
      </c>
      <c r="C861" s="77" t="s">
        <v>29</v>
      </c>
      <c r="D861" s="77" t="s">
        <v>319</v>
      </c>
      <c r="E861" s="77" t="s">
        <v>374</v>
      </c>
      <c r="F861" s="77" t="s">
        <v>381</v>
      </c>
      <c r="G861" s="77" t="s">
        <v>27</v>
      </c>
      <c r="H861" s="77"/>
    </row>
    <row r="862" spans="1:8" x14ac:dyDescent="0.3">
      <c r="A862" t="s">
        <v>32</v>
      </c>
      <c r="B862" s="77" t="s">
        <v>100</v>
      </c>
      <c r="C862" s="77" t="s">
        <v>29</v>
      </c>
      <c r="D862" s="77" t="s">
        <v>328</v>
      </c>
      <c r="E862" s="77" t="s">
        <v>353</v>
      </c>
      <c r="F862" s="77" t="s">
        <v>373</v>
      </c>
      <c r="G862" s="77" t="s">
        <v>74</v>
      </c>
      <c r="H862" s="77"/>
    </row>
    <row r="863" spans="1:8" x14ac:dyDescent="0.3">
      <c r="A863" t="s">
        <v>32</v>
      </c>
      <c r="B863" s="77" t="s">
        <v>104</v>
      </c>
      <c r="C863" s="77" t="s">
        <v>29</v>
      </c>
      <c r="D863" s="77" t="s">
        <v>416</v>
      </c>
      <c r="E863" s="77" t="s">
        <v>377</v>
      </c>
      <c r="F863" s="77" t="s">
        <v>353</v>
      </c>
      <c r="G863" s="77" t="s">
        <v>27</v>
      </c>
      <c r="H863" s="77"/>
    </row>
    <row r="864" spans="1:8" x14ac:dyDescent="0.3">
      <c r="A864" t="s">
        <v>32</v>
      </c>
      <c r="B864" s="77" t="s">
        <v>108</v>
      </c>
      <c r="C864" s="77" t="s">
        <v>29</v>
      </c>
      <c r="D864" s="77" t="s">
        <v>427</v>
      </c>
      <c r="E864" s="77" t="s">
        <v>411</v>
      </c>
      <c r="F864" s="77" t="s">
        <v>376</v>
      </c>
      <c r="G864" s="77" t="s">
        <v>27</v>
      </c>
      <c r="H864" s="77"/>
    </row>
    <row r="865" spans="1:8" x14ac:dyDescent="0.3">
      <c r="A865" t="s">
        <v>32</v>
      </c>
      <c r="B865" s="77" t="s">
        <v>112</v>
      </c>
      <c r="C865" s="77" t="s">
        <v>29</v>
      </c>
      <c r="D865" s="77" t="s">
        <v>387</v>
      </c>
      <c r="E865" s="77" t="s">
        <v>372</v>
      </c>
      <c r="F865" s="77" t="s">
        <v>402</v>
      </c>
      <c r="G865" s="77" t="s">
        <v>74</v>
      </c>
      <c r="H865" s="77"/>
    </row>
    <row r="866" spans="1:8" x14ac:dyDescent="0.3">
      <c r="A866" t="s">
        <v>32</v>
      </c>
      <c r="B866" s="77" t="s">
        <v>116</v>
      </c>
      <c r="C866" s="77" t="s">
        <v>29</v>
      </c>
      <c r="D866" s="77" t="s">
        <v>434</v>
      </c>
      <c r="E866" s="77" t="s">
        <v>330</v>
      </c>
      <c r="F866" s="77" t="s">
        <v>37</v>
      </c>
      <c r="G866" s="77" t="s">
        <v>385</v>
      </c>
      <c r="H866" s="77"/>
    </row>
    <row r="867" spans="1:8" x14ac:dyDescent="0.3">
      <c r="A867" t="s">
        <v>32</v>
      </c>
      <c r="B867" s="77" t="s">
        <v>121</v>
      </c>
      <c r="C867" s="77" t="s">
        <v>29</v>
      </c>
      <c r="D867" s="77" t="s">
        <v>379</v>
      </c>
      <c r="E867" s="77" t="s">
        <v>385</v>
      </c>
      <c r="F867" s="77" t="s">
        <v>392</v>
      </c>
      <c r="G867" s="77" t="s">
        <v>27</v>
      </c>
      <c r="H867" s="77"/>
    </row>
    <row r="868" spans="1:8" x14ac:dyDescent="0.3">
      <c r="A868" t="s">
        <v>32</v>
      </c>
      <c r="B868" s="77" t="s">
        <v>125</v>
      </c>
      <c r="C868" s="77" t="s">
        <v>29</v>
      </c>
      <c r="D868" s="77" t="s">
        <v>330</v>
      </c>
      <c r="E868" s="77" t="s">
        <v>370</v>
      </c>
      <c r="F868" s="77" t="s">
        <v>375</v>
      </c>
      <c r="G868" s="77" t="s">
        <v>61</v>
      </c>
      <c r="H868" s="77"/>
    </row>
    <row r="869" spans="1:8" x14ac:dyDescent="0.3">
      <c r="A869" t="s">
        <v>32</v>
      </c>
      <c r="B869" s="77" t="s">
        <v>129</v>
      </c>
      <c r="C869" s="77" t="s">
        <v>29</v>
      </c>
      <c r="D869" s="77" t="s">
        <v>345</v>
      </c>
      <c r="E869" s="77" t="s">
        <v>400</v>
      </c>
      <c r="F869" s="77" t="s">
        <v>133</v>
      </c>
      <c r="G869" s="77" t="s">
        <v>42</v>
      </c>
      <c r="H869" s="77"/>
    </row>
    <row r="870" spans="1:8" x14ac:dyDescent="0.3">
      <c r="A870" t="s">
        <v>32</v>
      </c>
      <c r="B870" s="77" t="s">
        <v>134</v>
      </c>
      <c r="C870" s="77" t="s">
        <v>29</v>
      </c>
      <c r="D870" s="77" t="s">
        <v>356</v>
      </c>
      <c r="E870" s="77" t="s">
        <v>386</v>
      </c>
      <c r="F870" s="77" t="s">
        <v>146</v>
      </c>
      <c r="G870" s="77" t="s">
        <v>56</v>
      </c>
      <c r="H870" s="77"/>
    </row>
    <row r="871" spans="1:8" x14ac:dyDescent="0.3">
      <c r="A871" t="s">
        <v>32</v>
      </c>
      <c r="B871" s="77" t="s">
        <v>138</v>
      </c>
      <c r="C871" s="77" t="s">
        <v>29</v>
      </c>
      <c r="D871" s="77" t="s">
        <v>384</v>
      </c>
      <c r="E871" s="77" t="s">
        <v>120</v>
      </c>
      <c r="F871" s="77" t="s">
        <v>42</v>
      </c>
      <c r="G871" s="77" t="s">
        <v>87</v>
      </c>
      <c r="H871" s="77"/>
    </row>
    <row r="872" spans="1:8" x14ac:dyDescent="0.3">
      <c r="A872" t="s">
        <v>32</v>
      </c>
      <c r="B872" s="77" t="s">
        <v>142</v>
      </c>
      <c r="C872" s="77" t="s">
        <v>29</v>
      </c>
      <c r="D872" s="77" t="s">
        <v>404</v>
      </c>
      <c r="E872" s="77" t="s">
        <v>356</v>
      </c>
      <c r="F872" s="77" t="s">
        <v>87</v>
      </c>
      <c r="G872" s="77" t="s">
        <v>56</v>
      </c>
      <c r="H872" s="77"/>
    </row>
    <row r="873" spans="1:8" x14ac:dyDescent="0.3">
      <c r="A873" t="s">
        <v>32</v>
      </c>
      <c r="B873" s="77" t="s">
        <v>147</v>
      </c>
      <c r="C873" s="77" t="s">
        <v>29</v>
      </c>
      <c r="D873" s="77" t="s">
        <v>370</v>
      </c>
      <c r="E873" s="77" t="s">
        <v>391</v>
      </c>
      <c r="F873" s="77" t="s">
        <v>51</v>
      </c>
      <c r="G873" s="77" t="s">
        <v>61</v>
      </c>
      <c r="H873" s="77"/>
    </row>
    <row r="874" spans="1:8" x14ac:dyDescent="0.3">
      <c r="A874" t="s">
        <v>32</v>
      </c>
      <c r="B874" s="77" t="s">
        <v>151</v>
      </c>
      <c r="C874" s="77" t="s">
        <v>29</v>
      </c>
      <c r="D874" s="77" t="s">
        <v>133</v>
      </c>
      <c r="E874" s="77" t="s">
        <v>402</v>
      </c>
      <c r="F874" s="77" t="s">
        <v>61</v>
      </c>
      <c r="G874" s="77" t="s">
        <v>27</v>
      </c>
      <c r="H874" s="77"/>
    </row>
    <row r="875" spans="1:8" x14ac:dyDescent="0.3">
      <c r="A875" t="s">
        <v>32</v>
      </c>
      <c r="B875" s="77" t="s">
        <v>155</v>
      </c>
      <c r="C875" s="77" t="s">
        <v>29</v>
      </c>
      <c r="D875" s="77" t="s">
        <v>146</v>
      </c>
      <c r="E875" s="77" t="s">
        <v>87</v>
      </c>
      <c r="F875" s="77" t="s">
        <v>56</v>
      </c>
      <c r="G875" s="77" t="s">
        <v>27</v>
      </c>
      <c r="H875" s="77"/>
    </row>
    <row r="876" spans="1:8" x14ac:dyDescent="0.3">
      <c r="A876" t="s">
        <v>32</v>
      </c>
      <c r="B876" s="77" t="s">
        <v>159</v>
      </c>
      <c r="C876" s="77" t="s">
        <v>29</v>
      </c>
      <c r="D876" s="77" t="s">
        <v>133</v>
      </c>
      <c r="E876" s="77" t="s">
        <v>392</v>
      </c>
      <c r="F876" s="77" t="s">
        <v>174</v>
      </c>
      <c r="G876" s="77" t="s">
        <v>27</v>
      </c>
      <c r="H876" s="77"/>
    </row>
    <row r="877" spans="1:8" x14ac:dyDescent="0.3">
      <c r="A877" t="s">
        <v>32</v>
      </c>
      <c r="B877" s="77" t="s">
        <v>170</v>
      </c>
      <c r="C877" s="77" t="s">
        <v>29</v>
      </c>
      <c r="D877" s="77" t="s">
        <v>74</v>
      </c>
      <c r="E877" s="77" t="s">
        <v>27</v>
      </c>
      <c r="F877" s="77" t="s">
        <v>74</v>
      </c>
      <c r="G877" s="77" t="s">
        <v>27</v>
      </c>
      <c r="H877" s="77"/>
    </row>
    <row r="878" spans="1:8" x14ac:dyDescent="0.3">
      <c r="A878" t="s">
        <v>32</v>
      </c>
      <c r="B878" s="77" t="s">
        <v>179</v>
      </c>
      <c r="C878" s="77" t="s">
        <v>29</v>
      </c>
      <c r="D878" s="77" t="s">
        <v>74</v>
      </c>
      <c r="E878" s="77" t="s">
        <v>27</v>
      </c>
      <c r="F878" s="77" t="s">
        <v>74</v>
      </c>
      <c r="G878" s="77" t="s">
        <v>27</v>
      </c>
      <c r="H878" s="77"/>
    </row>
  </sheetData>
  <autoFilter ref="A6:G878" xr:uid="{54433340-2F73-4959-8102-54B5B5939F27}"/>
  <pageMargins left="0.7" right="0.7" top="0.75" bottom="0.75" header="0.3" footer="0.3"/>
  <ignoredErrors>
    <ignoredError sqref="B7:B878 D7:D878 E7:E878 F7:F878 G7:G878 L32 L7:L31 L33:L58 N6:N58 O6:O58 P6:P58 Q6:Q58 R6:R58 S6:S58 T6:T58 U6:U58 V6:V10 W6:X6 Y6:AC6 W38:W58 X41:X58 Y44:Y58 Z47:Z58 AB53:AB58 AC56:AC58 V12:V5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T58"/>
  <sheetViews>
    <sheetView showGridLines="0" showRowColHeaders="0" zoomScale="106" zoomScaleNormal="100" workbookViewId="0">
      <selection activeCell="H20" sqref="H20"/>
    </sheetView>
  </sheetViews>
  <sheetFormatPr defaultColWidth="9.109375" defaultRowHeight="14.4" x14ac:dyDescent="0.3"/>
  <cols>
    <col min="1" max="1" width="4.44140625" customWidth="1"/>
    <col min="2" max="2" width="8.5546875" style="9" customWidth="1"/>
    <col min="3" max="10" width="9.5546875" style="9" customWidth="1"/>
    <col min="11" max="12" width="10.6640625" customWidth="1"/>
    <col min="13" max="13" width="9.33203125" customWidth="1"/>
    <col min="14" max="23" width="9" customWidth="1"/>
  </cols>
  <sheetData>
    <row r="2" spans="2:20" x14ac:dyDescent="0.3">
      <c r="B2" s="133" t="s">
        <v>0</v>
      </c>
      <c r="C2" s="134"/>
      <c r="D2" s="134"/>
      <c r="E2" s="134"/>
      <c r="F2" s="134"/>
      <c r="G2" s="14"/>
      <c r="H2" s="11"/>
      <c r="J2"/>
      <c r="M2" s="5"/>
      <c r="N2" s="5"/>
      <c r="O2" s="5"/>
      <c r="P2" s="5"/>
      <c r="Q2" s="5"/>
      <c r="R2" s="5"/>
      <c r="S2" s="5"/>
      <c r="T2" s="5"/>
    </row>
    <row r="3" spans="2:20" ht="28.5" customHeight="1" x14ac:dyDescent="0.3">
      <c r="B3" s="129" t="s">
        <v>23</v>
      </c>
      <c r="C3" s="129"/>
      <c r="D3" s="129"/>
      <c r="E3" s="129"/>
      <c r="F3" s="129"/>
      <c r="G3" s="15"/>
      <c r="J3"/>
      <c r="L3" s="1"/>
      <c r="M3" s="1"/>
      <c r="N3" s="1"/>
      <c r="O3" s="1"/>
      <c r="P3" s="1"/>
      <c r="Q3" s="1"/>
      <c r="R3" s="1"/>
      <c r="S3" s="1"/>
      <c r="T3" s="1"/>
    </row>
    <row r="4" spans="2:20" x14ac:dyDescent="0.3">
      <c r="B4" s="15"/>
      <c r="C4" s="15"/>
      <c r="D4" s="15"/>
      <c r="E4" s="15"/>
      <c r="F4" s="15"/>
      <c r="G4" s="15"/>
      <c r="J4"/>
      <c r="L4" s="1"/>
      <c r="M4" s="1"/>
      <c r="N4" s="1"/>
      <c r="O4" s="1"/>
      <c r="P4" s="1"/>
      <c r="Q4" s="1"/>
      <c r="R4" s="1"/>
      <c r="S4" s="1"/>
      <c r="T4" s="1"/>
    </row>
    <row r="5" spans="2:20" ht="28.5" customHeight="1" x14ac:dyDescent="0.3">
      <c r="B5" s="135" t="s">
        <v>1</v>
      </c>
      <c r="C5" s="130" t="s">
        <v>2</v>
      </c>
      <c r="D5" s="130"/>
      <c r="E5" s="135" t="s">
        <v>3</v>
      </c>
      <c r="F5" s="135"/>
      <c r="G5" s="15"/>
      <c r="J5"/>
      <c r="L5" s="1"/>
      <c r="M5" s="1"/>
      <c r="N5" s="1"/>
      <c r="O5" s="1"/>
      <c r="P5" s="1"/>
      <c r="Q5" s="1"/>
      <c r="R5" s="1"/>
      <c r="S5" s="1"/>
      <c r="T5" s="1"/>
    </row>
    <row r="6" spans="2:20" x14ac:dyDescent="0.3">
      <c r="B6" s="135"/>
      <c r="C6" s="21" t="s">
        <v>4</v>
      </c>
      <c r="D6" s="21" t="s">
        <v>5</v>
      </c>
      <c r="E6" s="21" t="s">
        <v>4</v>
      </c>
      <c r="F6" s="21" t="s">
        <v>5</v>
      </c>
      <c r="G6" s="16"/>
      <c r="J6"/>
      <c r="L6" s="1"/>
      <c r="M6" s="1"/>
      <c r="N6" s="1"/>
      <c r="O6" s="1"/>
      <c r="P6" s="1"/>
      <c r="Q6" s="1"/>
      <c r="R6" s="1"/>
      <c r="S6" s="1"/>
      <c r="T6" s="1"/>
    </row>
    <row r="7" spans="2:20" x14ac:dyDescent="0.3">
      <c r="B7" s="18">
        <v>2009</v>
      </c>
      <c r="C7" s="46" t="str">
        <f>'Filtrado de Información'!N8</f>
        <v>20,101</v>
      </c>
      <c r="D7" s="47" t="str">
        <f>'Filtrado de Información'!N9</f>
        <v>19,427</v>
      </c>
      <c r="E7" s="46" t="str">
        <f>'Filtrado de Información'!E61</f>
        <v>331</v>
      </c>
      <c r="F7" s="47" t="str">
        <f>'Filtrado de Información'!F61</f>
        <v>251</v>
      </c>
      <c r="G7" s="17"/>
      <c r="J7"/>
      <c r="L7" s="1"/>
      <c r="M7" s="1"/>
      <c r="N7" s="1"/>
      <c r="O7" s="1"/>
      <c r="P7" s="1"/>
      <c r="Q7" s="1"/>
      <c r="R7" s="1"/>
      <c r="S7" s="1"/>
      <c r="T7" s="1"/>
    </row>
    <row r="8" spans="2:20" x14ac:dyDescent="0.3">
      <c r="B8" s="18">
        <v>2010</v>
      </c>
      <c r="C8" s="46" t="str">
        <f>'Filtrado de Información'!O12</f>
        <v>20,191</v>
      </c>
      <c r="D8" s="47" t="str">
        <f>'Filtrado de Información'!O13</f>
        <v>19,400</v>
      </c>
      <c r="E8" s="46" t="str">
        <f>'Filtrado de Información'!E62</f>
        <v>351</v>
      </c>
      <c r="F8" s="47" t="str">
        <f>'Filtrado de Información'!F62</f>
        <v>251</v>
      </c>
      <c r="G8" s="17"/>
      <c r="I8" s="82"/>
      <c r="J8"/>
      <c r="L8" s="1"/>
      <c r="M8" s="1"/>
      <c r="N8" s="1"/>
      <c r="O8" s="1"/>
      <c r="P8" s="1"/>
      <c r="Q8" s="1"/>
      <c r="R8" s="1"/>
      <c r="S8" s="1"/>
      <c r="T8" s="1"/>
    </row>
    <row r="9" spans="2:20" x14ac:dyDescent="0.3">
      <c r="B9" s="18">
        <v>2011</v>
      </c>
      <c r="C9" s="46" t="str">
        <f>'Filtrado de Información'!P15</f>
        <v>21,073</v>
      </c>
      <c r="D9" s="47" t="str">
        <f>'Filtrado de Información'!P16</f>
        <v>20,033</v>
      </c>
      <c r="E9" s="46" t="str">
        <f>'Filtrado de Información'!E63</f>
        <v>360</v>
      </c>
      <c r="F9" s="47" t="str">
        <f>'Filtrado de Información'!F63</f>
        <v>271</v>
      </c>
      <c r="G9" s="17"/>
      <c r="J9"/>
      <c r="L9" s="1"/>
      <c r="M9" s="1"/>
      <c r="N9" s="1"/>
      <c r="O9" s="1"/>
      <c r="P9" s="1"/>
      <c r="Q9" s="1"/>
      <c r="R9" s="1"/>
      <c r="S9" s="1"/>
      <c r="T9" s="1"/>
    </row>
    <row r="10" spans="2:20" x14ac:dyDescent="0.3">
      <c r="B10" s="18">
        <v>2012</v>
      </c>
      <c r="C10" s="46" t="str">
        <f>'Filtrado de Información'!Q19</f>
        <v>20,507</v>
      </c>
      <c r="D10" s="47" t="str">
        <f>'Filtrado de Información'!Q20</f>
        <v>19,967</v>
      </c>
      <c r="E10" s="46" t="str">
        <f>'Filtrado de Información'!E64</f>
        <v>361</v>
      </c>
      <c r="F10" s="47" t="str">
        <f>'Filtrado de Información'!F64</f>
        <v>287</v>
      </c>
      <c r="G10" s="17"/>
      <c r="J10"/>
      <c r="L10" s="1"/>
      <c r="M10" s="1"/>
      <c r="N10" s="1"/>
      <c r="O10" s="1"/>
      <c r="P10" s="1"/>
      <c r="Q10" s="1"/>
      <c r="R10" s="1"/>
      <c r="S10" s="1"/>
      <c r="T10" s="1"/>
    </row>
    <row r="11" spans="2:20" x14ac:dyDescent="0.3">
      <c r="B11" s="18">
        <v>2013</v>
      </c>
      <c r="C11" s="46" t="str">
        <f>'Filtrado de Información'!R23</f>
        <v>19,997</v>
      </c>
      <c r="D11" s="47" t="str">
        <f>'Filtrado de Información'!R24</f>
        <v>19,571</v>
      </c>
      <c r="E11" s="46" t="str">
        <f>'Filtrado de Información'!E65</f>
        <v>358</v>
      </c>
      <c r="F11" s="47" t="str">
        <f>'Filtrado de Información'!F65</f>
        <v>252</v>
      </c>
      <c r="G11" s="17"/>
      <c r="J11"/>
      <c r="L11" s="2"/>
      <c r="M11" s="4"/>
      <c r="N11" s="4"/>
      <c r="O11" s="4"/>
      <c r="P11" s="1"/>
      <c r="Q11" s="1"/>
      <c r="R11" s="1"/>
      <c r="S11" s="1"/>
      <c r="T11" s="1"/>
    </row>
    <row r="12" spans="2:20" x14ac:dyDescent="0.3">
      <c r="B12" s="18">
        <v>2014</v>
      </c>
      <c r="C12" s="46" t="str">
        <f>'Filtrado de Información'!S27</f>
        <v>19,306</v>
      </c>
      <c r="D12" s="47" t="str">
        <f>'Filtrado de Información'!S28</f>
        <v>18,359</v>
      </c>
      <c r="E12" s="46" t="str">
        <f>'Filtrado de Información'!E66</f>
        <v>332</v>
      </c>
      <c r="F12" s="47" t="str">
        <f>'Filtrado de Información'!F66</f>
        <v>255</v>
      </c>
      <c r="G12" s="17"/>
      <c r="J12"/>
      <c r="L12" s="2"/>
      <c r="M12" s="4"/>
      <c r="N12" s="4"/>
      <c r="P12" s="1"/>
      <c r="Q12" s="1"/>
      <c r="R12" s="1"/>
      <c r="S12" s="1"/>
      <c r="T12" s="1"/>
    </row>
    <row r="13" spans="2:20" x14ac:dyDescent="0.3">
      <c r="B13" s="18">
        <v>2015</v>
      </c>
      <c r="C13" s="46" t="str">
        <f>'Filtrado de Información'!T30</f>
        <v>19,409</v>
      </c>
      <c r="D13" s="47" t="str">
        <f>'Filtrado de Información'!T31</f>
        <v>18,625</v>
      </c>
      <c r="E13" s="46" t="str">
        <f>'Filtrado de Información'!E67</f>
        <v>318</v>
      </c>
      <c r="F13" s="47" t="str">
        <f>'Filtrado de Información'!F67</f>
        <v>268</v>
      </c>
      <c r="G13" s="17"/>
      <c r="J13"/>
      <c r="L13" s="2"/>
      <c r="M13" s="3"/>
      <c r="N13" s="3"/>
      <c r="O13" s="4"/>
      <c r="P13" s="1"/>
      <c r="Q13" s="1"/>
      <c r="R13" s="1"/>
      <c r="S13" s="1"/>
      <c r="T13" s="1"/>
    </row>
    <row r="14" spans="2:20" x14ac:dyDescent="0.3">
      <c r="B14" s="18">
        <v>2016</v>
      </c>
      <c r="C14" s="46" t="str">
        <f>'Filtrado de Información'!U33</f>
        <v>19,114</v>
      </c>
      <c r="D14" s="47" t="str">
        <f>'Filtrado de Información'!U34</f>
        <v>18,647</v>
      </c>
      <c r="E14" s="46" t="str">
        <f>'Filtrado de Información'!E68</f>
        <v>277</v>
      </c>
      <c r="F14" s="47" t="str">
        <f>'Filtrado de Información'!F68</f>
        <v>245</v>
      </c>
      <c r="G14" s="17"/>
      <c r="J14"/>
      <c r="L14" s="2"/>
      <c r="M14" s="3"/>
      <c r="N14" s="3"/>
      <c r="O14" s="4"/>
      <c r="P14" s="1"/>
      <c r="Q14" s="1"/>
      <c r="R14" s="1"/>
      <c r="S14" s="1"/>
      <c r="T14" s="1"/>
    </row>
    <row r="15" spans="2:20" x14ac:dyDescent="0.3">
      <c r="B15" s="18">
        <v>2017</v>
      </c>
      <c r="C15" s="84" t="str">
        <f>'Filtrado de Información'!V36</f>
        <v>18,520</v>
      </c>
      <c r="D15" s="100" t="str">
        <f>'Filtrado de Información'!V37</f>
        <v>18,136</v>
      </c>
      <c r="E15" s="84" t="str">
        <f>'Filtrado de Información'!E69</f>
        <v>295</v>
      </c>
      <c r="F15" s="100" t="str">
        <f>'Filtrado de Información'!F69</f>
        <v>214</v>
      </c>
      <c r="G15" s="17"/>
      <c r="J15"/>
      <c r="Q15" s="1"/>
      <c r="R15" s="1"/>
      <c r="S15" s="1"/>
      <c r="T15" s="1"/>
    </row>
    <row r="16" spans="2:20" x14ac:dyDescent="0.3">
      <c r="B16" s="18">
        <v>2018</v>
      </c>
      <c r="C16" s="86" t="str">
        <f>'Filtrado de Información'!W39</f>
        <v>17,674</v>
      </c>
      <c r="D16" s="102" t="str">
        <f>'Filtrado de Información'!W40</f>
        <v>16,868</v>
      </c>
      <c r="E16" s="86" t="str">
        <f>'Filtrado de Información'!E70</f>
        <v>263</v>
      </c>
      <c r="F16" s="102" t="str">
        <f>'Filtrado de Información'!F70</f>
        <v>215</v>
      </c>
      <c r="G16" s="17"/>
      <c r="J16"/>
      <c r="Q16" s="1"/>
      <c r="R16" s="1"/>
      <c r="S16" s="1"/>
      <c r="T16" s="1"/>
    </row>
    <row r="17" spans="2:20" x14ac:dyDescent="0.3">
      <c r="B17" s="18">
        <v>2019</v>
      </c>
      <c r="C17" s="89" t="str">
        <f>'Filtrado de Información'!X42</f>
        <v>16,559</v>
      </c>
      <c r="D17" s="104" t="str">
        <f>'Filtrado de Información'!X43</f>
        <v>15,922</v>
      </c>
      <c r="E17" s="89" t="str">
        <f>'Filtrado de Información'!E71</f>
        <v>277</v>
      </c>
      <c r="F17" s="104" t="str">
        <f>'Filtrado de Información'!F71</f>
        <v>194</v>
      </c>
      <c r="G17" s="17"/>
      <c r="J17"/>
      <c r="Q17" s="1"/>
      <c r="R17" s="1"/>
      <c r="S17" s="1"/>
      <c r="T17" s="1"/>
    </row>
    <row r="18" spans="2:20" x14ac:dyDescent="0.3">
      <c r="B18" s="18">
        <v>2020</v>
      </c>
      <c r="C18" s="91" t="str">
        <f>'Filtrado de Información'!Y45</f>
        <v>14,000</v>
      </c>
      <c r="D18" s="106" t="str">
        <f>'Filtrado de Información'!Y46</f>
        <v>13,629</v>
      </c>
      <c r="E18" s="91" t="str">
        <f>'Filtrado de Información'!E72</f>
        <v>189</v>
      </c>
      <c r="F18" s="106" t="str">
        <f>'Filtrado de Información'!F72</f>
        <v>152</v>
      </c>
      <c r="G18" s="17"/>
      <c r="J18"/>
      <c r="Q18" s="1"/>
      <c r="R18" s="1"/>
      <c r="S18" s="1"/>
      <c r="T18" s="1"/>
    </row>
    <row r="19" spans="2:20" x14ac:dyDescent="0.3">
      <c r="B19" s="18">
        <v>2021</v>
      </c>
      <c r="C19" s="93" t="str">
        <f>'Filtrado de Información'!Z48</f>
        <v>13,524</v>
      </c>
      <c r="D19" s="108" t="str">
        <f>'Filtrado de Información'!Z49</f>
        <v>12,860</v>
      </c>
      <c r="E19" s="93" t="str">
        <f>'Filtrado de Información'!E73</f>
        <v>226</v>
      </c>
      <c r="F19" s="108" t="str">
        <f>'Filtrado de Información'!F73</f>
        <v>192</v>
      </c>
      <c r="G19" s="17"/>
      <c r="J19"/>
      <c r="Q19" s="1"/>
      <c r="R19" s="1"/>
      <c r="S19" s="1"/>
      <c r="T19" s="1"/>
    </row>
    <row r="20" spans="2:20" x14ac:dyDescent="0.3">
      <c r="B20" s="18">
        <v>2022</v>
      </c>
      <c r="C20" s="95">
        <f>'Filtrado de Información'!AA51</f>
        <v>13632</v>
      </c>
      <c r="D20" s="110">
        <f>'Filtrado de Información'!AA52</f>
        <v>13264</v>
      </c>
      <c r="E20" s="95" t="str">
        <f>'Filtrado de Información'!E74</f>
        <v>248</v>
      </c>
      <c r="F20" s="110" t="str">
        <f>'Filtrado de Información'!F74</f>
        <v>196</v>
      </c>
      <c r="G20" s="17"/>
      <c r="J20"/>
      <c r="Q20" s="1"/>
      <c r="R20" s="1"/>
      <c r="S20" s="1"/>
      <c r="T20" s="1"/>
    </row>
    <row r="21" spans="2:20" x14ac:dyDescent="0.3">
      <c r="B21" s="18">
        <v>2023</v>
      </c>
      <c r="C21" s="97" t="str">
        <f>'Filtrado de Información'!AB54</f>
        <v>13,217</v>
      </c>
      <c r="D21" s="112" t="str">
        <f>'Filtrado de Información'!AB55</f>
        <v>12,991</v>
      </c>
      <c r="E21" s="97" t="str">
        <f>'Filtrado de Información'!E75</f>
        <v>246</v>
      </c>
      <c r="F21" s="112" t="str">
        <f>'Filtrado de Información'!F75</f>
        <v>181</v>
      </c>
      <c r="G21" s="17"/>
      <c r="J21"/>
      <c r="Q21" s="1"/>
      <c r="R21" s="1"/>
      <c r="S21" s="1"/>
      <c r="T21" s="1"/>
    </row>
    <row r="22" spans="2:20" x14ac:dyDescent="0.3">
      <c r="B22" s="18">
        <v>2024</v>
      </c>
      <c r="C22" s="99" t="str">
        <f>'Filtrado de Información'!AC57</f>
        <v>12,584</v>
      </c>
      <c r="D22" s="114" t="str">
        <f>'Filtrado de Información'!AC58</f>
        <v>12,136</v>
      </c>
      <c r="E22" s="99" t="str">
        <f>'Filtrado de Información'!E76</f>
        <v>190</v>
      </c>
      <c r="F22" s="114" t="str">
        <f>'Filtrado de Información'!F76</f>
        <v>144</v>
      </c>
      <c r="G22" s="17"/>
      <c r="J22"/>
      <c r="Q22" s="1"/>
      <c r="R22" s="1"/>
      <c r="S22" s="1"/>
      <c r="T22" s="1"/>
    </row>
    <row r="23" spans="2:20" x14ac:dyDescent="0.3">
      <c r="B23" s="127" t="s">
        <v>1109</v>
      </c>
      <c r="C23" s="127"/>
      <c r="D23" s="127"/>
      <c r="E23" s="127"/>
      <c r="F23" s="127"/>
      <c r="G23" s="13"/>
      <c r="J23"/>
    </row>
    <row r="24" spans="2:20" x14ac:dyDescent="0.3">
      <c r="C24" s="13"/>
      <c r="D24" s="13"/>
      <c r="E24" s="13"/>
      <c r="F24" s="13"/>
      <c r="G24" s="13"/>
      <c r="H24" s="13"/>
    </row>
    <row r="25" spans="2:20" x14ac:dyDescent="0.3">
      <c r="B25" s="128" t="s">
        <v>6</v>
      </c>
      <c r="C25" s="128"/>
      <c r="D25" s="128"/>
      <c r="E25" s="128"/>
      <c r="F25" s="128"/>
      <c r="G25" s="128"/>
      <c r="H25" s="128"/>
      <c r="I25" s="128"/>
      <c r="J25" s="128"/>
      <c r="L25" s="2"/>
      <c r="M25" s="4"/>
      <c r="N25" s="4"/>
      <c r="O25" s="4"/>
      <c r="P25" s="4"/>
    </row>
    <row r="26" spans="2:20" ht="14.4" customHeight="1" x14ac:dyDescent="0.3">
      <c r="B26" s="129" t="s">
        <v>24</v>
      </c>
      <c r="C26" s="129"/>
      <c r="D26" s="129"/>
      <c r="E26" s="129"/>
      <c r="F26" s="129"/>
      <c r="G26" s="129"/>
      <c r="H26" s="129"/>
      <c r="I26" s="129"/>
      <c r="J26" s="129"/>
      <c r="L26" s="2"/>
      <c r="M26" s="4"/>
      <c r="N26" s="4"/>
      <c r="O26" s="4"/>
      <c r="P26" s="4"/>
    </row>
    <row r="27" spans="2:20" ht="14.4" customHeight="1" x14ac:dyDescent="0.3">
      <c r="B27" s="15"/>
      <c r="C27" s="15"/>
      <c r="D27" s="15"/>
      <c r="E27" s="15"/>
      <c r="F27" s="15"/>
      <c r="G27" s="15"/>
      <c r="H27" s="15"/>
      <c r="I27" s="15"/>
      <c r="J27" s="15"/>
      <c r="L27" s="2"/>
      <c r="M27" s="4"/>
      <c r="N27" s="4"/>
      <c r="O27" s="4"/>
      <c r="P27" s="4"/>
    </row>
    <row r="28" spans="2:20" ht="15.6" x14ac:dyDescent="0.3">
      <c r="B28" s="19"/>
      <c r="C28" s="130" t="s">
        <v>7</v>
      </c>
      <c r="D28" s="130"/>
      <c r="E28" s="130" t="s">
        <v>8</v>
      </c>
      <c r="F28" s="130"/>
      <c r="G28" s="131" t="s">
        <v>9</v>
      </c>
      <c r="H28" s="132"/>
      <c r="I28" s="130" t="s">
        <v>10</v>
      </c>
      <c r="J28" s="130"/>
      <c r="L28" s="2"/>
      <c r="M28" s="4"/>
      <c r="N28" s="4"/>
      <c r="O28" s="4"/>
      <c r="P28" s="4"/>
    </row>
    <row r="29" spans="2:20" x14ac:dyDescent="0.3">
      <c r="B29" s="20" t="s">
        <v>1</v>
      </c>
      <c r="C29" s="21" t="s">
        <v>4</v>
      </c>
      <c r="D29" s="21" t="s">
        <v>5</v>
      </c>
      <c r="E29" s="21" t="s">
        <v>4</v>
      </c>
      <c r="F29" s="21" t="s">
        <v>5</v>
      </c>
      <c r="G29" s="21" t="s">
        <v>4</v>
      </c>
      <c r="H29" s="21" t="s">
        <v>5</v>
      </c>
      <c r="I29" s="21" t="s">
        <v>4</v>
      </c>
      <c r="J29" s="21" t="s">
        <v>5</v>
      </c>
      <c r="L29" s="2"/>
      <c r="M29" s="4"/>
      <c r="N29" s="4"/>
      <c r="O29" s="4"/>
      <c r="P29" s="4"/>
    </row>
    <row r="30" spans="2:20" x14ac:dyDescent="0.3">
      <c r="B30" s="18">
        <v>2015</v>
      </c>
      <c r="C30" s="48" t="str">
        <f>'Filtrado de Información'!E137</f>
        <v>22</v>
      </c>
      <c r="D30" s="49" t="str">
        <f>'Filtrado de Información'!F137</f>
        <v>18</v>
      </c>
      <c r="E30" s="48" t="str">
        <f>'Filtrado de Información'!E172</f>
        <v>16</v>
      </c>
      <c r="F30" s="49" t="str">
        <f>'Filtrado de Información'!F172</f>
        <v>14</v>
      </c>
      <c r="G30" s="48" t="str">
        <f>'Filtrado de Información'!E207</f>
        <v>9</v>
      </c>
      <c r="H30" s="49" t="str">
        <f>'Filtrado de Información'!F207</f>
        <v>6</v>
      </c>
      <c r="I30" s="48" t="str">
        <f>'Filtrado de Información'!E242</f>
        <v>9</v>
      </c>
      <c r="J30" s="49" t="str">
        <f>'Filtrado de Información'!F242</f>
        <v>6</v>
      </c>
      <c r="L30" s="2"/>
      <c r="M30" s="4"/>
      <c r="N30" s="4"/>
      <c r="O30" s="4"/>
      <c r="P30" s="4"/>
    </row>
    <row r="31" spans="2:20" x14ac:dyDescent="0.3">
      <c r="B31" s="18">
        <v>2016</v>
      </c>
      <c r="C31" s="48" t="str">
        <f>'Filtrado de Información'!E138</f>
        <v>21</v>
      </c>
      <c r="D31" s="49" t="str">
        <f>'Filtrado de Información'!F138</f>
        <v>25</v>
      </c>
      <c r="E31" s="48" t="str">
        <f>'Filtrado de Información'!E173</f>
        <v>13</v>
      </c>
      <c r="F31" s="49" t="str">
        <f>'Filtrado de Información'!F173</f>
        <v>10</v>
      </c>
      <c r="G31" s="48" t="str">
        <f>'Filtrado de Información'!E208</f>
        <v>7</v>
      </c>
      <c r="H31" s="49" t="str">
        <f>'Filtrado de Información'!F208</f>
        <v>7</v>
      </c>
      <c r="I31" s="48" t="str">
        <f>'Filtrado de Información'!E243</f>
        <v>10</v>
      </c>
      <c r="J31" s="49" t="str">
        <f>'Filtrado de Información'!F243</f>
        <v>11</v>
      </c>
    </row>
    <row r="32" spans="2:20" x14ac:dyDescent="0.3">
      <c r="B32" s="18">
        <v>2017</v>
      </c>
      <c r="C32" s="48" t="str">
        <f>'Filtrado de Información'!E139</f>
        <v>20</v>
      </c>
      <c r="D32" s="49" t="str">
        <f>'Filtrado de Información'!F139</f>
        <v>19</v>
      </c>
      <c r="E32" s="48" t="str">
        <f>'Filtrado de Información'!E174</f>
        <v>17</v>
      </c>
      <c r="F32" s="49" t="str">
        <f>'Filtrado de Información'!F174</f>
        <v>7</v>
      </c>
      <c r="G32" s="48" t="str">
        <f>'Filtrado de Información'!E209</f>
        <v>8</v>
      </c>
      <c r="H32" s="49" t="str">
        <f>'Filtrado de Información'!F209</f>
        <v>8</v>
      </c>
      <c r="I32" s="48" t="str">
        <f>'Filtrado de Información'!E244</f>
        <v>9</v>
      </c>
      <c r="J32" s="49" t="str">
        <f>'Filtrado de Información'!F244</f>
        <v>7</v>
      </c>
    </row>
    <row r="33" spans="2:10" x14ac:dyDescent="0.3">
      <c r="B33" s="18">
        <v>2018</v>
      </c>
      <c r="C33" s="85" t="str">
        <f>'Filtrado de Información'!E140</f>
        <v>22</v>
      </c>
      <c r="D33" s="101" t="str">
        <f>'Filtrado de Información'!F140</f>
        <v>21</v>
      </c>
      <c r="E33" s="48" t="str">
        <f>'Filtrado de Información'!E175</f>
        <v>8</v>
      </c>
      <c r="F33" s="49" t="str">
        <f>'Filtrado de Información'!F175</f>
        <v>12</v>
      </c>
      <c r="G33" s="48" t="str">
        <f>'Filtrado de Información'!E210</f>
        <v>10</v>
      </c>
      <c r="H33" s="49" t="str">
        <f>'Filtrado de Información'!F210</f>
        <v>14</v>
      </c>
      <c r="I33" s="48" t="str">
        <f>'Filtrado de Información'!E245</f>
        <v>5</v>
      </c>
      <c r="J33" s="49" t="str">
        <f>'Filtrado de Información'!F245</f>
        <v>12</v>
      </c>
    </row>
    <row r="34" spans="2:10" x14ac:dyDescent="0.3">
      <c r="B34" s="18">
        <v>2019</v>
      </c>
      <c r="C34" s="88" t="str">
        <f>'Filtrado de Información'!E141</f>
        <v>22</v>
      </c>
      <c r="D34" s="103" t="str">
        <f>'Filtrado de Información'!F141</f>
        <v>28</v>
      </c>
      <c r="E34" s="85" t="str">
        <f>'Filtrado de Información'!E176</f>
        <v>12</v>
      </c>
      <c r="F34" s="101" t="str">
        <f>'Filtrado de Información'!F176</f>
        <v>15</v>
      </c>
      <c r="G34" s="48" t="str">
        <f>'Filtrado de Información'!E211</f>
        <v>9</v>
      </c>
      <c r="H34" s="49" t="str">
        <f>'Filtrado de Información'!F211</f>
        <v>5</v>
      </c>
      <c r="I34" s="48" t="str">
        <f>'Filtrado de Información'!E246</f>
        <v>7</v>
      </c>
      <c r="J34" s="49" t="str">
        <f>'Filtrado de Información'!F246</f>
        <v>2</v>
      </c>
    </row>
    <row r="35" spans="2:10" x14ac:dyDescent="0.3">
      <c r="B35" s="18">
        <v>2020</v>
      </c>
      <c r="C35" s="90" t="str">
        <f>'Filtrado de Información'!E142</f>
        <v>19</v>
      </c>
      <c r="D35" s="105" t="str">
        <f>'Filtrado de Información'!F142</f>
        <v>15</v>
      </c>
      <c r="E35" s="88" t="str">
        <f>'Filtrado de Información'!E177</f>
        <v>11</v>
      </c>
      <c r="F35" s="103" t="str">
        <f>'Filtrado de Información'!F177</f>
        <v>9</v>
      </c>
      <c r="G35" s="85" t="str">
        <f>'Filtrado de Información'!E212</f>
        <v>10</v>
      </c>
      <c r="H35" s="101" t="str">
        <f>'Filtrado de Información'!F212</f>
        <v>6</v>
      </c>
      <c r="I35" s="48" t="str">
        <f>'Filtrado de Información'!E247</f>
        <v>4</v>
      </c>
      <c r="J35" s="49" t="str">
        <f>'Filtrado de Información'!F247</f>
        <v>4</v>
      </c>
    </row>
    <row r="36" spans="2:10" x14ac:dyDescent="0.3">
      <c r="B36" s="18">
        <v>2021</v>
      </c>
      <c r="C36" s="92" t="str">
        <f>'Filtrado de Información'!E143</f>
        <v>20</v>
      </c>
      <c r="D36" s="107" t="str">
        <f>'Filtrado de Información'!F143</f>
        <v>17</v>
      </c>
      <c r="E36" s="90" t="str">
        <f>'Filtrado de Información'!E178</f>
        <v>7</v>
      </c>
      <c r="F36" s="105" t="str">
        <f>'Filtrado de Información'!F178</f>
        <v>13</v>
      </c>
      <c r="G36" s="88" t="str">
        <f>'Filtrado de Información'!E213</f>
        <v>10</v>
      </c>
      <c r="H36" s="103" t="str">
        <f>'Filtrado de Información'!F213</f>
        <v>7</v>
      </c>
      <c r="I36" s="85" t="str">
        <f>'Filtrado de Información'!E248</f>
        <v>12</v>
      </c>
      <c r="J36" s="101" t="str">
        <f>'Filtrado de Información'!F248</f>
        <v>4</v>
      </c>
    </row>
    <row r="37" spans="2:10" x14ac:dyDescent="0.3">
      <c r="B37" s="18">
        <v>2022</v>
      </c>
      <c r="C37" s="94" t="str">
        <f>'Filtrado de Información'!E144</f>
        <v>12</v>
      </c>
      <c r="D37" s="109" t="str">
        <f>'Filtrado de Información'!F144</f>
        <v>15</v>
      </c>
      <c r="E37" s="92" t="str">
        <f>'Filtrado de Información'!E179</f>
        <v>15</v>
      </c>
      <c r="F37" s="107" t="str">
        <f>'Filtrado de Información'!F179</f>
        <v>6</v>
      </c>
      <c r="G37" s="90" t="str">
        <f>'Filtrado de Información'!E214</f>
        <v>9</v>
      </c>
      <c r="H37" s="105" t="str">
        <f>'Filtrado de Información'!F214</f>
        <v>5</v>
      </c>
      <c r="I37" s="88" t="str">
        <f>'Filtrado de Información'!E249</f>
        <v>5</v>
      </c>
      <c r="J37" s="103" t="str">
        <f>'Filtrado de Información'!F249</f>
        <v>2</v>
      </c>
    </row>
    <row r="38" spans="2:10" x14ac:dyDescent="0.3">
      <c r="B38" s="18">
        <v>2023</v>
      </c>
      <c r="C38" s="96" t="str">
        <f>'Filtrado de Información'!E145</f>
        <v>22</v>
      </c>
      <c r="D38" s="111" t="str">
        <f>'Filtrado de Información'!F145</f>
        <v>14</v>
      </c>
      <c r="E38" s="94" t="str">
        <f>'Filtrado de Información'!E180</f>
        <v>16</v>
      </c>
      <c r="F38" s="109" t="str">
        <f>'Filtrado de Información'!F180</f>
        <v>9</v>
      </c>
      <c r="G38" s="92" t="str">
        <f>'Filtrado de Información'!E215</f>
        <v>6</v>
      </c>
      <c r="H38" s="107" t="str">
        <f>'Filtrado de Información'!F215</f>
        <v>11</v>
      </c>
      <c r="I38" s="90" t="str">
        <f>'Filtrado de Información'!E250</f>
        <v>9</v>
      </c>
      <c r="J38" s="105" t="str">
        <f>'Filtrado de Información'!F250</f>
        <v>10</v>
      </c>
    </row>
    <row r="39" spans="2:10" x14ac:dyDescent="0.3">
      <c r="B39" s="18">
        <v>2024</v>
      </c>
      <c r="C39" s="98" t="str">
        <f>'Filtrado de Información'!E146</f>
        <v>10</v>
      </c>
      <c r="D39" s="113" t="str">
        <f>'Filtrado de Información'!F146</f>
        <v>16</v>
      </c>
      <c r="E39" s="96" t="str">
        <f>'Filtrado de Información'!E181</f>
        <v>7</v>
      </c>
      <c r="F39" s="111" t="str">
        <f>'Filtrado de Información'!F181</f>
        <v>5</v>
      </c>
      <c r="G39" s="94" t="str">
        <f>'Filtrado de Información'!E216</f>
        <v>11</v>
      </c>
      <c r="H39" s="109" t="str">
        <f>'Filtrado de Información'!F216</f>
        <v>3</v>
      </c>
      <c r="I39" s="92" t="str">
        <f>'Filtrado de Información'!E251</f>
        <v>6</v>
      </c>
      <c r="J39" s="107" t="str">
        <f>'Filtrado de Información'!F251</f>
        <v>3</v>
      </c>
    </row>
    <row r="40" spans="2:10" x14ac:dyDescent="0.3">
      <c r="B40" s="127" t="s">
        <v>1109</v>
      </c>
      <c r="C40" s="127"/>
      <c r="D40" s="127"/>
      <c r="E40" s="127"/>
      <c r="F40" s="127"/>
      <c r="G40" s="127"/>
      <c r="H40" s="127"/>
      <c r="I40" s="127"/>
      <c r="J40" s="127"/>
    </row>
    <row r="42" spans="2:10" ht="15.6" x14ac:dyDescent="0.3">
      <c r="B42" s="44" t="s">
        <v>19</v>
      </c>
    </row>
    <row r="43" spans="2:10" ht="15.6" x14ac:dyDescent="0.3">
      <c r="B43" s="45" t="s">
        <v>20</v>
      </c>
      <c r="C43" s="8"/>
      <c r="D43" s="8"/>
      <c r="E43" s="8"/>
      <c r="F43" s="8"/>
      <c r="G43" s="8"/>
      <c r="H43" s="8"/>
      <c r="I43" s="8"/>
      <c r="J43" s="8"/>
    </row>
    <row r="44" spans="2:10" x14ac:dyDescent="0.3">
      <c r="B44" s="12"/>
      <c r="C44" s="8"/>
      <c r="D44" s="8"/>
      <c r="E44" s="8"/>
      <c r="F44" s="8"/>
      <c r="G44" s="8"/>
      <c r="H44" s="8"/>
      <c r="I44" s="8"/>
      <c r="J44" s="8"/>
    </row>
    <row r="45" spans="2:10" x14ac:dyDescent="0.3">
      <c r="B45" s="12"/>
      <c r="C45" s="8"/>
      <c r="D45" s="8"/>
      <c r="E45" s="8"/>
      <c r="F45" s="8"/>
      <c r="G45" s="8"/>
      <c r="H45" s="8"/>
      <c r="I45" s="8"/>
      <c r="J45" s="8"/>
    </row>
    <row r="46" spans="2:10" x14ac:dyDescent="0.3">
      <c r="B46" s="12"/>
      <c r="C46" s="8"/>
      <c r="D46" s="8"/>
      <c r="E46" s="8"/>
      <c r="F46" s="8"/>
      <c r="G46" s="8"/>
      <c r="H46" s="8"/>
      <c r="I46" s="8"/>
      <c r="J46" s="8"/>
    </row>
    <row r="47" spans="2:10" x14ac:dyDescent="0.3">
      <c r="B47" s="12"/>
      <c r="C47" s="8"/>
      <c r="D47" s="8"/>
      <c r="E47" s="8"/>
      <c r="F47" s="8"/>
      <c r="G47" s="8"/>
      <c r="H47" s="8"/>
      <c r="I47" s="8"/>
      <c r="J47" s="8"/>
    </row>
    <row r="48" spans="2:10" x14ac:dyDescent="0.3">
      <c r="B48" s="12"/>
      <c r="C48" s="8"/>
      <c r="D48" s="8"/>
      <c r="E48" s="8"/>
      <c r="F48" s="8"/>
      <c r="G48" s="8"/>
      <c r="H48" s="8"/>
      <c r="I48" s="8"/>
      <c r="J48" s="8"/>
    </row>
    <row r="49" spans="2:10" x14ac:dyDescent="0.3">
      <c r="B49" s="12"/>
      <c r="C49" s="8"/>
      <c r="D49" s="8"/>
      <c r="E49" s="8"/>
      <c r="F49" s="8"/>
      <c r="G49" s="8"/>
      <c r="H49" s="8"/>
      <c r="I49" s="8"/>
      <c r="J49" s="8"/>
    </row>
    <row r="52" spans="2:10" x14ac:dyDescent="0.3">
      <c r="B52" s="12"/>
      <c r="C52" s="10"/>
      <c r="D52" s="10"/>
      <c r="E52" s="10"/>
      <c r="F52" s="10"/>
      <c r="G52" s="10"/>
      <c r="H52" s="10"/>
      <c r="I52" s="10"/>
      <c r="J52" s="10"/>
    </row>
    <row r="53" spans="2:10" x14ac:dyDescent="0.3">
      <c r="B53" s="12"/>
      <c r="C53" s="10"/>
      <c r="D53" s="10"/>
      <c r="E53" s="10"/>
      <c r="F53" s="10"/>
      <c r="G53" s="10"/>
      <c r="H53" s="10"/>
      <c r="I53" s="10"/>
      <c r="J53" s="10"/>
    </row>
    <row r="54" spans="2:10" x14ac:dyDescent="0.3">
      <c r="B54" s="12"/>
      <c r="C54" s="10"/>
      <c r="D54" s="10"/>
      <c r="E54" s="10"/>
      <c r="F54" s="10"/>
      <c r="G54" s="10"/>
      <c r="H54" s="10"/>
      <c r="I54" s="10"/>
      <c r="J54" s="10"/>
    </row>
    <row r="55" spans="2:10" x14ac:dyDescent="0.3">
      <c r="B55" s="12"/>
      <c r="C55" s="10"/>
      <c r="D55" s="10"/>
      <c r="E55" s="10"/>
      <c r="F55" s="10"/>
      <c r="G55" s="10"/>
      <c r="H55" s="10"/>
      <c r="I55" s="10"/>
      <c r="J55" s="10"/>
    </row>
    <row r="56" spans="2:10" x14ac:dyDescent="0.3">
      <c r="B56" s="12"/>
      <c r="C56" s="10"/>
      <c r="D56" s="10"/>
      <c r="E56" s="10"/>
      <c r="F56" s="10"/>
      <c r="G56" s="10"/>
      <c r="H56" s="10"/>
      <c r="I56" s="10"/>
      <c r="J56" s="10"/>
    </row>
    <row r="57" spans="2:10" x14ac:dyDescent="0.3">
      <c r="B57" s="12"/>
      <c r="C57" s="10"/>
      <c r="D57" s="10"/>
      <c r="E57" s="10"/>
      <c r="F57" s="10"/>
      <c r="G57" s="10"/>
      <c r="H57" s="10"/>
      <c r="I57" s="10"/>
      <c r="J57" s="10"/>
    </row>
    <row r="58" spans="2:10" x14ac:dyDescent="0.3">
      <c r="B58" s="12"/>
      <c r="C58" s="10"/>
      <c r="D58" s="10"/>
      <c r="E58" s="10"/>
      <c r="F58" s="10"/>
      <c r="G58" s="10"/>
      <c r="H58" s="10"/>
      <c r="I58" s="10"/>
      <c r="J58" s="10"/>
    </row>
  </sheetData>
  <mergeCells count="13">
    <mergeCell ref="B2:F2"/>
    <mergeCell ref="B5:B6"/>
    <mergeCell ref="C5:D5"/>
    <mergeCell ref="E5:F5"/>
    <mergeCell ref="B23:F23"/>
    <mergeCell ref="B3:F3"/>
    <mergeCell ref="B40:J40"/>
    <mergeCell ref="B25:J25"/>
    <mergeCell ref="B26:J26"/>
    <mergeCell ref="C28:D28"/>
    <mergeCell ref="E28:F28"/>
    <mergeCell ref="I28:J28"/>
    <mergeCell ref="G28:H28"/>
  </mergeCells>
  <pageMargins left="0.7" right="0.7" top="0.75" bottom="0.75" header="0.3" footer="0.3"/>
  <pageSetup orientation="landscape" r:id="rId1"/>
  <headerFooter>
    <oddHeader>&amp;CPráctica Mortalidad 2</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576A8-3B8B-48AA-BAB6-A5B89026AD77}">
  <dimension ref="B2:AP67"/>
  <sheetViews>
    <sheetView showGridLines="0" topLeftCell="I1" zoomScale="92" zoomScaleNormal="100" workbookViewId="0">
      <selection activeCell="AC10" sqref="AC10"/>
    </sheetView>
  </sheetViews>
  <sheetFormatPr defaultColWidth="8.88671875" defaultRowHeight="11.4" x14ac:dyDescent="0.2"/>
  <cols>
    <col min="1" max="1" width="2.88671875" style="23" customWidth="1"/>
    <col min="2" max="2" width="5.6640625" style="23" customWidth="1"/>
    <col min="3" max="3" width="2" style="23" customWidth="1"/>
    <col min="4" max="4" width="4.6640625" style="23" customWidth="1"/>
    <col min="5" max="5" width="1.6640625" style="23" customWidth="1"/>
    <col min="6" max="6" width="10.33203125" style="23" customWidth="1"/>
    <col min="7" max="7" width="2.44140625" style="23" customWidth="1"/>
    <col min="8" max="8" width="10.33203125" style="23" customWidth="1"/>
    <col min="9" max="9" width="2.44140625" style="23" customWidth="1"/>
    <col min="10" max="10" width="10.33203125" style="23" customWidth="1"/>
    <col min="11" max="11" width="2.44140625" style="23" customWidth="1"/>
    <col min="12" max="12" width="10.33203125" style="23" customWidth="1"/>
    <col min="13" max="13" width="2.44140625" style="23" customWidth="1"/>
    <col min="14" max="14" width="10.33203125" style="23" customWidth="1"/>
    <col min="15" max="15" width="2.44140625" style="23" customWidth="1"/>
    <col min="16" max="16" width="10.33203125" style="23" customWidth="1"/>
    <col min="17" max="17" width="2.44140625" style="23" customWidth="1"/>
    <col min="18" max="18" width="10.33203125" style="23" customWidth="1"/>
    <col min="19" max="19" width="2.44140625" style="23" customWidth="1"/>
    <col min="20" max="20" width="10.33203125" style="23" customWidth="1"/>
    <col min="21" max="21" width="2.44140625" style="23" customWidth="1"/>
    <col min="22" max="22" width="4.6640625" style="23" customWidth="1"/>
    <col min="23" max="23" width="5.6640625" style="23" customWidth="1"/>
    <col min="24" max="24" width="2.44140625" style="23" customWidth="1"/>
    <col min="25" max="25" width="4.6640625" style="23" customWidth="1"/>
    <col min="26" max="26" width="3.109375" style="23" customWidth="1"/>
    <col min="27" max="27" width="10.33203125" style="23" customWidth="1"/>
    <col min="28" max="28" width="2.44140625" style="23" customWidth="1"/>
    <col min="29" max="29" width="10.33203125" style="23" customWidth="1"/>
    <col min="30" max="30" width="2.44140625" style="23" customWidth="1"/>
    <col min="31" max="31" width="10.33203125" style="23" customWidth="1"/>
    <col min="32" max="32" width="2.44140625" style="23" customWidth="1"/>
    <col min="33" max="33" width="10.33203125" style="23" customWidth="1"/>
    <col min="34" max="34" width="2.44140625" style="23" customWidth="1"/>
    <col min="35" max="35" width="10.33203125" style="23" customWidth="1"/>
    <col min="36" max="36" width="2.44140625" style="23" customWidth="1"/>
    <col min="37" max="37" width="10.33203125" style="23" customWidth="1"/>
    <col min="38" max="38" width="2.44140625" style="23" customWidth="1"/>
    <col min="39" max="39" width="10.33203125" style="23" customWidth="1"/>
    <col min="40" max="40" width="2.44140625" style="23" customWidth="1"/>
    <col min="41" max="41" width="10.33203125" style="23" customWidth="1"/>
    <col min="42" max="42" width="2.44140625" style="23" customWidth="1"/>
    <col min="43" max="43" width="7.44140625" style="23" customWidth="1"/>
    <col min="44" max="45" width="7" style="23" customWidth="1"/>
    <col min="46" max="46" width="6.5546875" style="23" customWidth="1"/>
    <col min="47" max="47" width="7.109375" style="23" customWidth="1"/>
    <col min="48" max="49" width="5.88671875" style="23" customWidth="1"/>
    <col min="50" max="16384" width="8.88671875" style="23"/>
  </cols>
  <sheetData>
    <row r="2" spans="2:42" ht="15" customHeight="1" x14ac:dyDescent="0.25">
      <c r="B2" s="73" t="s">
        <v>11</v>
      </c>
      <c r="C2" s="73"/>
      <c r="E2" s="123" t="s">
        <v>1216</v>
      </c>
      <c r="F2" s="123"/>
      <c r="G2" s="123"/>
      <c r="H2" s="123"/>
      <c r="I2" s="123"/>
      <c r="J2" s="123"/>
      <c r="K2" s="123"/>
      <c r="L2" s="123"/>
      <c r="M2" s="123"/>
      <c r="N2" s="123"/>
      <c r="O2" s="123"/>
      <c r="P2" s="123"/>
      <c r="Q2" s="123"/>
      <c r="R2" s="123"/>
      <c r="S2" s="123"/>
      <c r="T2" s="123"/>
      <c r="U2" s="123"/>
      <c r="V2" s="38"/>
      <c r="W2" s="73" t="s">
        <v>11</v>
      </c>
      <c r="X2" s="38"/>
      <c r="Z2" s="123" t="s">
        <v>1215</v>
      </c>
      <c r="AA2" s="123"/>
      <c r="AB2" s="123"/>
      <c r="AC2" s="123"/>
      <c r="AD2" s="123"/>
      <c r="AE2" s="123"/>
      <c r="AF2" s="123"/>
      <c r="AG2" s="123"/>
      <c r="AH2" s="123"/>
      <c r="AI2" s="123"/>
      <c r="AJ2" s="123"/>
      <c r="AK2" s="123"/>
      <c r="AL2" s="123"/>
      <c r="AM2" s="123"/>
      <c r="AN2" s="123"/>
      <c r="AO2" s="123"/>
      <c r="AP2" s="123"/>
    </row>
    <row r="3" spans="2:42" ht="12" x14ac:dyDescent="0.25">
      <c r="D3" s="126" t="s">
        <v>22</v>
      </c>
      <c r="E3" s="39"/>
      <c r="Y3" s="22"/>
      <c r="Z3" s="40"/>
    </row>
    <row r="4" spans="2:42" ht="15" customHeight="1" thickBot="1" x14ac:dyDescent="0.35">
      <c r="D4" s="126"/>
      <c r="E4" s="39">
        <v>5</v>
      </c>
      <c r="F4" s="24"/>
      <c r="G4" s="25"/>
      <c r="H4" s="24"/>
      <c r="I4" s="25"/>
      <c r="J4" s="24"/>
      <c r="K4" s="25"/>
      <c r="L4" s="24"/>
      <c r="M4" s="25"/>
      <c r="N4" s="25"/>
      <c r="O4" s="25"/>
      <c r="P4" s="26">
        <f>O5-P5</f>
        <v>18198.77</v>
      </c>
      <c r="Q4" s="25"/>
      <c r="R4" s="26">
        <f>Q5-R5</f>
        <v>17354.130000000005</v>
      </c>
      <c r="S4" s="25"/>
      <c r="T4" s="26">
        <f>S5-T5</f>
        <v>16306.689999999995</v>
      </c>
      <c r="U4" s="27"/>
      <c r="V4" s="27"/>
      <c r="X4" s="27"/>
      <c r="Y4" s="126" t="s">
        <v>22</v>
      </c>
      <c r="Z4" s="39">
        <v>5</v>
      </c>
      <c r="AA4" s="24"/>
      <c r="AB4" s="25"/>
      <c r="AC4" s="24"/>
      <c r="AD4" s="25"/>
      <c r="AE4" s="24"/>
      <c r="AF4" s="25"/>
      <c r="AG4" s="24"/>
      <c r="AH4" s="25"/>
      <c r="AI4" s="25"/>
      <c r="AJ4" s="25"/>
      <c r="AK4" s="26">
        <f>AJ5-AK5</f>
        <v>17874.72</v>
      </c>
      <c r="AL4" s="25"/>
      <c r="AM4" s="26">
        <f>AL5-AM5</f>
        <v>16627.280000000002</v>
      </c>
      <c r="AN4" s="25"/>
      <c r="AO4" s="26">
        <f>AN5-AO5</f>
        <v>15723.75</v>
      </c>
      <c r="AP4" s="27"/>
    </row>
    <row r="5" spans="2:42" s="28" customFormat="1" ht="15" customHeight="1" x14ac:dyDescent="0.3">
      <c r="B5" s="23">
        <v>0.48</v>
      </c>
      <c r="C5" s="23"/>
      <c r="D5" s="126"/>
      <c r="E5" s="39"/>
      <c r="F5" s="29"/>
      <c r="G5" s="30"/>
      <c r="H5" s="29"/>
      <c r="I5" s="30"/>
      <c r="J5" s="29"/>
      <c r="K5" s="30"/>
      <c r="L5" s="29"/>
      <c r="M5" s="30"/>
      <c r="N5" s="31">
        <f>Datos!I36*(1-B5)</f>
        <v>6.24</v>
      </c>
      <c r="O5" s="122">
        <f>N9-N8</f>
        <v>18201.37</v>
      </c>
      <c r="P5" s="31">
        <f>Datos!I37*(1-B5)</f>
        <v>2.6</v>
      </c>
      <c r="Q5" s="122">
        <f>P9-P8</f>
        <v>17358.810000000005</v>
      </c>
      <c r="R5" s="31">
        <f>Datos!I38*(1-B5)</f>
        <v>4.68</v>
      </c>
      <c r="S5" s="122">
        <f>R9-R8</f>
        <v>16309.809999999996</v>
      </c>
      <c r="T5" s="31">
        <f>Datos!I39*(1-B5)</f>
        <v>3.12</v>
      </c>
      <c r="U5" s="124">
        <f>T9-T8</f>
        <v>13739.110000000004</v>
      </c>
      <c r="V5" s="42"/>
      <c r="W5" s="23">
        <v>0.48</v>
      </c>
      <c r="X5" s="42"/>
      <c r="Y5" s="126"/>
      <c r="Z5" s="39"/>
      <c r="AA5" s="29"/>
      <c r="AB5" s="30"/>
      <c r="AC5" s="29"/>
      <c r="AD5" s="30"/>
      <c r="AE5" s="29"/>
      <c r="AF5" s="30"/>
      <c r="AG5" s="29"/>
      <c r="AH5" s="30"/>
      <c r="AI5" s="31">
        <f>Datos!J36*(1-W5)</f>
        <v>2.08</v>
      </c>
      <c r="AJ5" s="122">
        <f>AI9-AI8</f>
        <v>17875.760000000002</v>
      </c>
      <c r="AK5" s="31">
        <f>Datos!J37*(1-W5)</f>
        <v>1.04</v>
      </c>
      <c r="AL5" s="122">
        <f>AK9-AK8</f>
        <v>16632.480000000003</v>
      </c>
      <c r="AM5" s="31">
        <f>Datos!J38*(1-W5)</f>
        <v>5.2</v>
      </c>
      <c r="AN5" s="122">
        <f>AM9-AM8</f>
        <v>15725.31</v>
      </c>
      <c r="AO5" s="31">
        <f>Datos!J39*(1-W5)</f>
        <v>1.56</v>
      </c>
      <c r="AP5" s="124">
        <f>AO9-AO8</f>
        <v>13411.31</v>
      </c>
    </row>
    <row r="6" spans="2:42" ht="15" customHeight="1" x14ac:dyDescent="0.3">
      <c r="D6" s="126"/>
      <c r="E6" s="39"/>
      <c r="F6" s="24"/>
      <c r="G6" s="25"/>
      <c r="H6" s="24"/>
      <c r="I6" s="25"/>
      <c r="J6" s="24"/>
      <c r="K6" s="25"/>
      <c r="L6" s="24"/>
      <c r="M6" s="25"/>
      <c r="N6" s="32"/>
      <c r="O6" s="122"/>
      <c r="P6" s="32"/>
      <c r="Q6" s="122"/>
      <c r="R6" s="32"/>
      <c r="S6" s="122"/>
      <c r="T6" s="32"/>
      <c r="U6" s="124"/>
      <c r="V6" s="42"/>
      <c r="X6" s="42"/>
      <c r="Y6" s="126"/>
      <c r="Z6" s="39"/>
      <c r="AA6" s="24"/>
      <c r="AB6" s="25"/>
      <c r="AC6" s="24"/>
      <c r="AD6" s="25"/>
      <c r="AE6" s="24"/>
      <c r="AF6" s="25"/>
      <c r="AG6" s="24"/>
      <c r="AH6" s="25"/>
      <c r="AI6" s="32"/>
      <c r="AJ6" s="122"/>
      <c r="AK6" s="32"/>
      <c r="AL6" s="122"/>
      <c r="AM6" s="32"/>
      <c r="AN6" s="122"/>
      <c r="AO6" s="32"/>
      <c r="AP6" s="124"/>
    </row>
    <row r="7" spans="2:42" ht="15" customHeight="1" x14ac:dyDescent="0.3">
      <c r="D7" s="126"/>
      <c r="E7" s="39"/>
      <c r="F7" s="24"/>
      <c r="G7" s="25"/>
      <c r="H7" s="24"/>
      <c r="I7" s="25"/>
      <c r="J7" s="24"/>
      <c r="K7" s="25"/>
      <c r="L7" s="24"/>
      <c r="M7" s="25"/>
      <c r="N7" s="32"/>
      <c r="O7" s="122"/>
      <c r="P7" s="32"/>
      <c r="Q7" s="122"/>
      <c r="R7" s="32"/>
      <c r="S7" s="122"/>
      <c r="T7" s="32"/>
      <c r="U7" s="124"/>
      <c r="V7" s="42"/>
      <c r="X7" s="42"/>
      <c r="Y7" s="126"/>
      <c r="Z7" s="39"/>
      <c r="AA7" s="24"/>
      <c r="AB7" s="25"/>
      <c r="AC7" s="24"/>
      <c r="AD7" s="25"/>
      <c r="AE7" s="24"/>
      <c r="AF7" s="25"/>
      <c r="AG7" s="24"/>
      <c r="AH7" s="25"/>
      <c r="AI7" s="32"/>
      <c r="AJ7" s="122"/>
      <c r="AK7" s="32"/>
      <c r="AL7" s="122"/>
      <c r="AM7" s="32"/>
      <c r="AN7" s="122"/>
      <c r="AO7" s="32"/>
      <c r="AP7" s="124"/>
    </row>
    <row r="8" spans="2:42" ht="15" customHeight="1" thickBot="1" x14ac:dyDescent="0.35">
      <c r="D8" s="126"/>
      <c r="E8" s="39"/>
      <c r="F8" s="24"/>
      <c r="G8" s="25"/>
      <c r="H8" s="24"/>
      <c r="I8" s="25"/>
      <c r="J8" s="24"/>
      <c r="K8" s="25"/>
      <c r="L8" s="24"/>
      <c r="M8" s="25"/>
      <c r="N8" s="33">
        <f>Datos!I36*B5</f>
        <v>5.76</v>
      </c>
      <c r="O8" s="122"/>
      <c r="P8" s="33">
        <f>Datos!I37*B5</f>
        <v>2.4</v>
      </c>
      <c r="Q8" s="122"/>
      <c r="R8" s="33">
        <f>Datos!I38*B5</f>
        <v>4.32</v>
      </c>
      <c r="S8" s="122"/>
      <c r="T8" s="33">
        <f>Datos!I39*B5</f>
        <v>2.88</v>
      </c>
      <c r="U8" s="124"/>
      <c r="V8" s="42"/>
      <c r="X8" s="42"/>
      <c r="Y8" s="126"/>
      <c r="Z8" s="39"/>
      <c r="AA8" s="24"/>
      <c r="AB8" s="25"/>
      <c r="AC8" s="24"/>
      <c r="AD8" s="25"/>
      <c r="AE8" s="24"/>
      <c r="AF8" s="25"/>
      <c r="AG8" s="24"/>
      <c r="AH8" s="25"/>
      <c r="AI8" s="33">
        <f>Datos!J36*W5</f>
        <v>1.92</v>
      </c>
      <c r="AJ8" s="122"/>
      <c r="AK8" s="33">
        <f>Datos!J37*W5</f>
        <v>0.96</v>
      </c>
      <c r="AL8" s="122"/>
      <c r="AM8" s="33">
        <f>Datos!J38*W5</f>
        <v>4.8</v>
      </c>
      <c r="AN8" s="122"/>
      <c r="AO8" s="33">
        <f>Datos!J39*W5</f>
        <v>1.44</v>
      </c>
      <c r="AP8" s="124"/>
    </row>
    <row r="9" spans="2:42" ht="15" customHeight="1" thickBot="1" x14ac:dyDescent="0.35">
      <c r="D9" s="126"/>
      <c r="E9" s="39">
        <v>4</v>
      </c>
      <c r="F9" s="24"/>
      <c r="G9" s="25"/>
      <c r="H9" s="24"/>
      <c r="I9" s="25"/>
      <c r="J9" s="24"/>
      <c r="K9" s="25"/>
      <c r="L9" s="24"/>
      <c r="M9" s="25"/>
      <c r="N9" s="26">
        <f>M10-N10</f>
        <v>18207.129999999997</v>
      </c>
      <c r="O9" s="25"/>
      <c r="P9" s="26">
        <f>O10-P10</f>
        <v>17361.210000000006</v>
      </c>
      <c r="Q9" s="25"/>
      <c r="R9" s="26">
        <f>Q10-R10</f>
        <v>16314.129999999996</v>
      </c>
      <c r="S9" s="25"/>
      <c r="T9" s="26">
        <f>S10-T10</f>
        <v>13741.990000000003</v>
      </c>
      <c r="U9" s="27"/>
      <c r="V9" s="27"/>
      <c r="X9" s="27"/>
      <c r="Y9" s="126"/>
      <c r="Z9" s="39">
        <v>4</v>
      </c>
      <c r="AA9" s="24"/>
      <c r="AB9" s="25"/>
      <c r="AC9" s="24"/>
      <c r="AD9" s="25"/>
      <c r="AE9" s="24"/>
      <c r="AF9" s="25"/>
      <c r="AG9" s="24"/>
      <c r="AH9" s="25"/>
      <c r="AI9" s="26">
        <f>AH10-AI10</f>
        <v>17877.68</v>
      </c>
      <c r="AJ9" s="25"/>
      <c r="AK9" s="26">
        <f>AJ10-AK10</f>
        <v>16633.440000000002</v>
      </c>
      <c r="AL9" s="25"/>
      <c r="AM9" s="26">
        <f>AL10-AM10</f>
        <v>15730.109999999999</v>
      </c>
      <c r="AN9" s="25"/>
      <c r="AO9" s="26">
        <f>AN10-AO10</f>
        <v>13412.75</v>
      </c>
      <c r="AP9" s="27"/>
    </row>
    <row r="10" spans="2:42" s="28" customFormat="1" ht="15" customHeight="1" x14ac:dyDescent="0.3">
      <c r="B10" s="23">
        <v>0.48</v>
      </c>
      <c r="C10" s="23"/>
      <c r="D10" s="126"/>
      <c r="E10" s="39"/>
      <c r="F10" s="29"/>
      <c r="G10" s="30"/>
      <c r="H10" s="29"/>
      <c r="I10" s="30"/>
      <c r="J10" s="29"/>
      <c r="K10" s="30"/>
      <c r="L10" s="31">
        <f>Datos!G35*(1-B10)</f>
        <v>5.2</v>
      </c>
      <c r="M10" s="122">
        <f>L14-L13</f>
        <v>18212.329999999998</v>
      </c>
      <c r="N10" s="31">
        <f>Datos!G36*(1-B10)</f>
        <v>5.2</v>
      </c>
      <c r="O10" s="122">
        <f>N14-N13</f>
        <v>17365.890000000007</v>
      </c>
      <c r="P10" s="31">
        <f>Datos!G37*(1-B10)</f>
        <v>4.68</v>
      </c>
      <c r="Q10" s="122">
        <f>P14-P13</f>
        <v>16317.249999999996</v>
      </c>
      <c r="R10" s="31">
        <f>Datos!G38*(1-B10)</f>
        <v>3.12</v>
      </c>
      <c r="S10" s="122">
        <f>R14-R13</f>
        <v>13747.710000000003</v>
      </c>
      <c r="T10" s="31">
        <f>Datos!G39*(1-B10)</f>
        <v>5.7200000000000006</v>
      </c>
      <c r="U10" s="124">
        <f>T14-T13</f>
        <v>13245.99</v>
      </c>
      <c r="V10" s="42"/>
      <c r="W10" s="23">
        <v>0.48</v>
      </c>
      <c r="X10" s="42"/>
      <c r="Y10" s="126"/>
      <c r="Z10" s="39"/>
      <c r="AA10" s="29"/>
      <c r="AB10" s="30"/>
      <c r="AC10" s="29"/>
      <c r="AD10" s="30"/>
      <c r="AE10" s="29"/>
      <c r="AF10" s="30"/>
      <c r="AG10" s="31">
        <f>Datos!H35*(1-W10)</f>
        <v>3.12</v>
      </c>
      <c r="AH10" s="122">
        <f>AG14-AG13</f>
        <v>17881.32</v>
      </c>
      <c r="AI10" s="31">
        <f>Datos!H36*(1-W10)</f>
        <v>3.64</v>
      </c>
      <c r="AJ10" s="122">
        <f>AI14-AI13</f>
        <v>16636.04</v>
      </c>
      <c r="AK10" s="31">
        <f>Datos!H37*(1-W10)</f>
        <v>2.6</v>
      </c>
      <c r="AL10" s="122">
        <f>AK14-AK13</f>
        <v>15735.829999999998</v>
      </c>
      <c r="AM10" s="31">
        <f>Datos!H38*(1-W10)</f>
        <v>5.7200000000000006</v>
      </c>
      <c r="AN10" s="122">
        <f>AM14-AM13</f>
        <v>13414.31</v>
      </c>
      <c r="AO10" s="31">
        <f>Datos!H39*(1-W10)</f>
        <v>1.56</v>
      </c>
      <c r="AP10" s="124">
        <f>AO14-AO13</f>
        <v>12641.87</v>
      </c>
    </row>
    <row r="11" spans="2:42" ht="15" customHeight="1" x14ac:dyDescent="0.3">
      <c r="D11" s="126"/>
      <c r="E11" s="39"/>
      <c r="F11" s="24"/>
      <c r="G11" s="25"/>
      <c r="H11" s="24"/>
      <c r="I11" s="25"/>
      <c r="J11" s="24"/>
      <c r="K11" s="25"/>
      <c r="L11" s="32"/>
      <c r="M11" s="122"/>
      <c r="N11" s="32"/>
      <c r="O11" s="122"/>
      <c r="P11" s="32"/>
      <c r="Q11" s="122"/>
      <c r="R11" s="32"/>
      <c r="S11" s="122"/>
      <c r="T11" s="32"/>
      <c r="U11" s="124"/>
      <c r="V11" s="42"/>
      <c r="X11" s="42"/>
      <c r="Y11" s="126"/>
      <c r="Z11" s="39"/>
      <c r="AA11" s="24"/>
      <c r="AB11" s="25"/>
      <c r="AC11" s="24"/>
      <c r="AD11" s="25"/>
      <c r="AE11" s="24"/>
      <c r="AF11" s="25"/>
      <c r="AG11" s="32"/>
      <c r="AH11" s="122"/>
      <c r="AI11" s="32"/>
      <c r="AJ11" s="122"/>
      <c r="AK11" s="32"/>
      <c r="AL11" s="122"/>
      <c r="AM11" s="32"/>
      <c r="AN11" s="122"/>
      <c r="AO11" s="32"/>
      <c r="AP11" s="124"/>
    </row>
    <row r="12" spans="2:42" ht="15" customHeight="1" x14ac:dyDescent="0.3">
      <c r="D12" s="126"/>
      <c r="E12" s="39"/>
      <c r="F12" s="24"/>
      <c r="G12" s="25"/>
      <c r="H12" s="24"/>
      <c r="I12" s="25"/>
      <c r="J12" s="24"/>
      <c r="K12" s="25"/>
      <c r="L12" s="32"/>
      <c r="M12" s="122"/>
      <c r="N12" s="32"/>
      <c r="O12" s="122"/>
      <c r="P12" s="32"/>
      <c r="Q12" s="122"/>
      <c r="R12" s="32"/>
      <c r="S12" s="122"/>
      <c r="T12" s="32"/>
      <c r="U12" s="124"/>
      <c r="V12" s="42"/>
      <c r="X12" s="42"/>
      <c r="Y12" s="126"/>
      <c r="Z12" s="39"/>
      <c r="AA12" s="24"/>
      <c r="AB12" s="25"/>
      <c r="AC12" s="24"/>
      <c r="AD12" s="25"/>
      <c r="AE12" s="24"/>
      <c r="AF12" s="25"/>
      <c r="AG12" s="32"/>
      <c r="AH12" s="122"/>
      <c r="AI12" s="32"/>
      <c r="AJ12" s="122"/>
      <c r="AK12" s="32"/>
      <c r="AL12" s="122"/>
      <c r="AM12" s="32"/>
      <c r="AN12" s="122"/>
      <c r="AO12" s="32"/>
      <c r="AP12" s="124"/>
    </row>
    <row r="13" spans="2:42" ht="15" customHeight="1" thickBot="1" x14ac:dyDescent="0.35">
      <c r="D13" s="126"/>
      <c r="E13" s="39"/>
      <c r="F13" s="24"/>
      <c r="G13" s="25"/>
      <c r="H13" s="24"/>
      <c r="I13" s="25"/>
      <c r="J13" s="24"/>
      <c r="K13" s="25"/>
      <c r="L13" s="33">
        <f>Datos!G35*B10</f>
        <v>4.8</v>
      </c>
      <c r="M13" s="122"/>
      <c r="N13" s="33">
        <f>Datos!G36*B10</f>
        <v>4.8</v>
      </c>
      <c r="O13" s="122"/>
      <c r="P13" s="33">
        <f>Datos!G37*B10</f>
        <v>4.32</v>
      </c>
      <c r="Q13" s="122"/>
      <c r="R13" s="33">
        <f>Datos!G38*B10</f>
        <v>2.88</v>
      </c>
      <c r="S13" s="122"/>
      <c r="T13" s="33">
        <f>Datos!G39*B10</f>
        <v>5.2799999999999994</v>
      </c>
      <c r="U13" s="124"/>
      <c r="V13" s="42"/>
      <c r="X13" s="42"/>
      <c r="Y13" s="126"/>
      <c r="Z13" s="39"/>
      <c r="AA13" s="24"/>
      <c r="AB13" s="25"/>
      <c r="AC13" s="24"/>
      <c r="AD13" s="25"/>
      <c r="AE13" s="24"/>
      <c r="AF13" s="25"/>
      <c r="AG13" s="33">
        <f>Datos!H35*W10</f>
        <v>2.88</v>
      </c>
      <c r="AH13" s="122"/>
      <c r="AI13" s="33">
        <f>Datos!H36*W10</f>
        <v>3.36</v>
      </c>
      <c r="AJ13" s="122"/>
      <c r="AK13" s="33">
        <f>Datos!H37*W10</f>
        <v>2.4</v>
      </c>
      <c r="AL13" s="122"/>
      <c r="AM13" s="33">
        <f>Datos!H38*W10</f>
        <v>5.2799999999999994</v>
      </c>
      <c r="AN13" s="122"/>
      <c r="AO13" s="33">
        <f>Datos!H39*W10</f>
        <v>1.44</v>
      </c>
      <c r="AP13" s="124"/>
    </row>
    <row r="14" spans="2:42" ht="15" customHeight="1" thickBot="1" x14ac:dyDescent="0.35">
      <c r="D14" s="126"/>
      <c r="E14" s="39">
        <v>3</v>
      </c>
      <c r="F14" s="24"/>
      <c r="G14" s="25"/>
      <c r="H14" s="24"/>
      <c r="I14" s="25"/>
      <c r="J14" s="24"/>
      <c r="K14" s="25"/>
      <c r="L14" s="26">
        <f>K15-L15</f>
        <v>18217.129999999997</v>
      </c>
      <c r="M14" s="25"/>
      <c r="N14" s="26">
        <f>M15-N15</f>
        <v>17370.690000000006</v>
      </c>
      <c r="O14" s="25"/>
      <c r="P14" s="26">
        <f>O15-P15</f>
        <v>16321.569999999996</v>
      </c>
      <c r="Q14" s="25"/>
      <c r="R14" s="26">
        <f>Q15-R15</f>
        <v>13750.590000000002</v>
      </c>
      <c r="S14" s="25"/>
      <c r="T14" s="26">
        <f>S15-T15</f>
        <v>13251.27</v>
      </c>
      <c r="U14" s="27"/>
      <c r="V14" s="27"/>
      <c r="X14" s="27"/>
      <c r="Y14" s="126"/>
      <c r="Z14" s="39">
        <v>3</v>
      </c>
      <c r="AA14" s="24"/>
      <c r="AB14" s="25"/>
      <c r="AC14" s="24"/>
      <c r="AD14" s="25"/>
      <c r="AE14" s="24"/>
      <c r="AF14" s="25"/>
      <c r="AG14" s="26">
        <f>AF15-AG15</f>
        <v>17884.2</v>
      </c>
      <c r="AH14" s="25"/>
      <c r="AI14" s="26">
        <f>AH15-AI15</f>
        <v>16639.400000000001</v>
      </c>
      <c r="AJ14" s="25"/>
      <c r="AK14" s="26">
        <f>AJ15-AK15</f>
        <v>15738.229999999998</v>
      </c>
      <c r="AL14" s="25"/>
      <c r="AM14" s="26">
        <f>AL15-AM15</f>
        <v>13419.59</v>
      </c>
      <c r="AN14" s="25"/>
      <c r="AO14" s="26">
        <f>AN15-AO15</f>
        <v>12643.310000000001</v>
      </c>
      <c r="AP14" s="27"/>
    </row>
    <row r="15" spans="2:42" ht="15" customHeight="1" x14ac:dyDescent="0.3">
      <c r="B15" s="23">
        <v>0.47</v>
      </c>
      <c r="D15" s="126"/>
      <c r="E15" s="39"/>
      <c r="F15" s="24"/>
      <c r="G15" s="25"/>
      <c r="H15" s="24"/>
      <c r="I15" s="25"/>
      <c r="J15" s="31">
        <f>Datos!E34*(1-B15)</f>
        <v>6.36</v>
      </c>
      <c r="K15" s="122">
        <f>J19-J18</f>
        <v>18222.96</v>
      </c>
      <c r="L15" s="31">
        <f>Datos!E35*(1-B15)</f>
        <v>5.83</v>
      </c>
      <c r="M15" s="122">
        <f>L19-L18</f>
        <v>17374.400000000005</v>
      </c>
      <c r="N15" s="31">
        <f>Datos!E36*(1-B15)</f>
        <v>3.71</v>
      </c>
      <c r="O15" s="122">
        <f>N19-N18</f>
        <v>16329.519999999997</v>
      </c>
      <c r="P15" s="31">
        <f>Datos!E37*(1-B15)</f>
        <v>7.95</v>
      </c>
      <c r="Q15" s="122">
        <f>P19-P18</f>
        <v>13759.070000000002</v>
      </c>
      <c r="R15" s="31">
        <f>Datos!E38*(1-B15)</f>
        <v>8.48</v>
      </c>
      <c r="S15" s="122">
        <f>R19-R18</f>
        <v>13254.98</v>
      </c>
      <c r="T15" s="31">
        <f>Datos!E39*(1-B15)</f>
        <v>3.71</v>
      </c>
      <c r="U15" s="124">
        <f>T19-T18</f>
        <v>13367.39</v>
      </c>
      <c r="V15" s="42"/>
      <c r="W15" s="23">
        <v>0.47</v>
      </c>
      <c r="X15" s="42"/>
      <c r="Y15" s="126"/>
      <c r="Z15" s="39"/>
      <c r="AA15" s="24"/>
      <c r="AB15" s="25"/>
      <c r="AC15" s="24"/>
      <c r="AD15" s="25"/>
      <c r="AE15" s="31">
        <f>Datos!F34*(1-W15)</f>
        <v>7.95</v>
      </c>
      <c r="AF15" s="122">
        <f>AE19-AE18</f>
        <v>17888.97</v>
      </c>
      <c r="AG15" s="31">
        <f>Datos!F35*(1-W15)</f>
        <v>4.7700000000000005</v>
      </c>
      <c r="AH15" s="122">
        <f>AG19-AG18</f>
        <v>16646.29</v>
      </c>
      <c r="AI15" s="31">
        <f>Datos!F36*(1-W15)</f>
        <v>6.8900000000000006</v>
      </c>
      <c r="AJ15" s="122">
        <f>AI19-AI18</f>
        <v>15741.409999999998</v>
      </c>
      <c r="AK15" s="31">
        <f>Datos!F37*(1-W15)</f>
        <v>3.18</v>
      </c>
      <c r="AL15" s="122">
        <f>AK19-AK18</f>
        <v>13424.36</v>
      </c>
      <c r="AM15" s="31">
        <f>Datos!F38*(1-W15)</f>
        <v>4.7700000000000005</v>
      </c>
      <c r="AN15" s="122">
        <f>AM19-AM18</f>
        <v>12645.960000000001</v>
      </c>
      <c r="AO15" s="31">
        <f>Datos!F39*(1-W15)</f>
        <v>2.6500000000000004</v>
      </c>
      <c r="AP15" s="124">
        <f>AO19-AO18</f>
        <v>13059.06</v>
      </c>
    </row>
    <row r="16" spans="2:42" ht="15" customHeight="1" x14ac:dyDescent="0.3">
      <c r="D16" s="126"/>
      <c r="E16" s="39"/>
      <c r="F16" s="24"/>
      <c r="G16" s="25"/>
      <c r="H16" s="24"/>
      <c r="I16" s="25"/>
      <c r="J16" s="34"/>
      <c r="K16" s="122"/>
      <c r="L16" s="34"/>
      <c r="M16" s="122"/>
      <c r="N16" s="32"/>
      <c r="O16" s="122"/>
      <c r="P16" s="32"/>
      <c r="Q16" s="122"/>
      <c r="R16" s="32"/>
      <c r="S16" s="122"/>
      <c r="T16" s="32"/>
      <c r="U16" s="124"/>
      <c r="V16" s="42"/>
      <c r="X16" s="42"/>
      <c r="Y16" s="126"/>
      <c r="Z16" s="39"/>
      <c r="AA16" s="25"/>
      <c r="AB16" s="25"/>
      <c r="AC16" s="24"/>
      <c r="AD16" s="25"/>
      <c r="AE16" s="32"/>
      <c r="AF16" s="122"/>
      <c r="AG16" s="34"/>
      <c r="AH16" s="122"/>
      <c r="AI16" s="32"/>
      <c r="AJ16" s="122"/>
      <c r="AK16" s="32"/>
      <c r="AL16" s="122"/>
      <c r="AM16" s="32"/>
      <c r="AN16" s="122"/>
      <c r="AO16" s="32"/>
      <c r="AP16" s="124"/>
    </row>
    <row r="17" spans="2:42" ht="15" customHeight="1" x14ac:dyDescent="0.3">
      <c r="D17" s="126"/>
      <c r="E17" s="39"/>
      <c r="F17" s="24"/>
      <c r="G17" s="25"/>
      <c r="H17" s="24"/>
      <c r="I17" s="25"/>
      <c r="J17" s="32"/>
      <c r="K17" s="122"/>
      <c r="L17" s="32"/>
      <c r="M17" s="122"/>
      <c r="N17" s="32"/>
      <c r="O17" s="122"/>
      <c r="P17" s="32"/>
      <c r="Q17" s="122"/>
      <c r="R17" s="32"/>
      <c r="S17" s="122"/>
      <c r="T17" s="32"/>
      <c r="U17" s="124"/>
      <c r="V17" s="42"/>
      <c r="X17" s="42"/>
      <c r="Y17" s="126"/>
      <c r="Z17" s="39"/>
      <c r="AA17" s="25"/>
      <c r="AB17" s="25"/>
      <c r="AC17" s="24"/>
      <c r="AD17" s="25"/>
      <c r="AE17" s="32"/>
      <c r="AF17" s="122"/>
      <c r="AG17" s="32"/>
      <c r="AH17" s="122"/>
      <c r="AI17" s="32"/>
      <c r="AJ17" s="122"/>
      <c r="AK17" s="32"/>
      <c r="AL17" s="122"/>
      <c r="AM17" s="32"/>
      <c r="AN17" s="122"/>
      <c r="AO17" s="32"/>
      <c r="AP17" s="124"/>
    </row>
    <row r="18" spans="2:42" ht="15" customHeight="1" thickBot="1" x14ac:dyDescent="0.35">
      <c r="D18" s="126"/>
      <c r="E18" s="39"/>
      <c r="F18" s="24"/>
      <c r="G18" s="25"/>
      <c r="H18" s="24"/>
      <c r="I18" s="25"/>
      <c r="J18" s="33">
        <f>Datos!E34*B15</f>
        <v>5.64</v>
      </c>
      <c r="K18" s="122"/>
      <c r="L18" s="33">
        <f>Datos!E35*B15</f>
        <v>5.17</v>
      </c>
      <c r="M18" s="122"/>
      <c r="N18" s="33">
        <f>Datos!E36*B15</f>
        <v>3.29</v>
      </c>
      <c r="O18" s="122"/>
      <c r="P18" s="33">
        <f>Datos!E37*B15</f>
        <v>7.05</v>
      </c>
      <c r="Q18" s="122"/>
      <c r="R18" s="33">
        <f>Datos!E38*B15</f>
        <v>7.52</v>
      </c>
      <c r="S18" s="122"/>
      <c r="T18" s="33">
        <f>Datos!E39*B15</f>
        <v>3.29</v>
      </c>
      <c r="U18" s="124"/>
      <c r="V18" s="42"/>
      <c r="X18" s="42"/>
      <c r="Y18" s="126"/>
      <c r="Z18" s="39"/>
      <c r="AA18" s="25"/>
      <c r="AB18" s="25"/>
      <c r="AC18" s="24"/>
      <c r="AD18" s="25"/>
      <c r="AE18" s="33">
        <f>Datos!F34*W15</f>
        <v>7.05</v>
      </c>
      <c r="AF18" s="122"/>
      <c r="AG18" s="33">
        <f>Datos!F35*W15</f>
        <v>4.2299999999999995</v>
      </c>
      <c r="AH18" s="122"/>
      <c r="AI18" s="33">
        <f>Datos!F36*W15</f>
        <v>6.1099999999999994</v>
      </c>
      <c r="AJ18" s="122"/>
      <c r="AK18" s="33">
        <f>Datos!F37*W15</f>
        <v>2.82</v>
      </c>
      <c r="AL18" s="122"/>
      <c r="AM18" s="33">
        <f>Datos!F38*W15</f>
        <v>4.2299999999999995</v>
      </c>
      <c r="AN18" s="122"/>
      <c r="AO18" s="33">
        <f>Datos!F39*W15</f>
        <v>2.3499999999999996</v>
      </c>
      <c r="AP18" s="124"/>
    </row>
    <row r="19" spans="2:42" ht="15" customHeight="1" thickBot="1" x14ac:dyDescent="0.35">
      <c r="D19" s="126"/>
      <c r="E19" s="39">
        <v>2</v>
      </c>
      <c r="F19" s="24"/>
      <c r="G19" s="25"/>
      <c r="H19" s="24"/>
      <c r="I19" s="25"/>
      <c r="J19" s="26">
        <f>I20-J20</f>
        <v>18228.599999999999</v>
      </c>
      <c r="K19" s="25"/>
      <c r="L19" s="26">
        <f>K20-L20</f>
        <v>17379.570000000003</v>
      </c>
      <c r="M19" s="25"/>
      <c r="N19" s="26">
        <f>M20-N20</f>
        <v>16332.809999999998</v>
      </c>
      <c r="O19" s="25"/>
      <c r="P19" s="26">
        <f>O20-P20</f>
        <v>13766.12</v>
      </c>
      <c r="Q19" s="25"/>
      <c r="R19" s="26">
        <f>Q20-R20</f>
        <v>13262.5</v>
      </c>
      <c r="S19" s="25"/>
      <c r="T19" s="26">
        <f>S20-T20</f>
        <v>13370.68</v>
      </c>
      <c r="U19" s="27"/>
      <c r="V19" s="27"/>
      <c r="X19" s="27"/>
      <c r="Y19" s="126"/>
      <c r="Z19" s="39">
        <v>2</v>
      </c>
      <c r="AA19" s="25"/>
      <c r="AB19" s="25"/>
      <c r="AC19" s="24"/>
      <c r="AD19" s="25"/>
      <c r="AE19" s="26">
        <f>AD20-AE20</f>
        <v>17896.02</v>
      </c>
      <c r="AF19" s="25"/>
      <c r="AG19" s="26">
        <f>AF20-AG20</f>
        <v>16650.52</v>
      </c>
      <c r="AH19" s="25"/>
      <c r="AI19" s="26">
        <f>AH20-AI20</f>
        <v>15747.519999999999</v>
      </c>
      <c r="AJ19" s="25"/>
      <c r="AK19" s="26">
        <f>AJ20-AK20</f>
        <v>13427.18</v>
      </c>
      <c r="AL19" s="25"/>
      <c r="AM19" s="26">
        <f>AL20-AM20</f>
        <v>12650.19</v>
      </c>
      <c r="AN19" s="25"/>
      <c r="AO19" s="26">
        <f>AN20-AO20</f>
        <v>13061.41</v>
      </c>
      <c r="AP19" s="27"/>
    </row>
    <row r="20" spans="2:42" ht="15" customHeight="1" x14ac:dyDescent="0.3">
      <c r="B20" s="23">
        <v>0.41</v>
      </c>
      <c r="D20" s="126"/>
      <c r="E20" s="39"/>
      <c r="F20" s="24"/>
      <c r="G20" s="25"/>
      <c r="H20" s="31">
        <f>Datos!C33*(1-B20)</f>
        <v>12.980000000000002</v>
      </c>
      <c r="I20" s="122">
        <f>H24-H23</f>
        <v>18241.579999999998</v>
      </c>
      <c r="J20" s="31">
        <f>Datos!C34*(1-B20)</f>
        <v>12.980000000000002</v>
      </c>
      <c r="K20" s="122">
        <f>J24-J23</f>
        <v>17390.780000000002</v>
      </c>
      <c r="L20" s="31">
        <f>Datos!C35*(1-B20)</f>
        <v>11.21</v>
      </c>
      <c r="M20" s="122">
        <f>L24-L23</f>
        <v>16344.609999999997</v>
      </c>
      <c r="N20" s="31">
        <f>Datos!C36*(1-B20)</f>
        <v>11.8</v>
      </c>
      <c r="O20" s="122">
        <f>N24-N23</f>
        <v>13773.2</v>
      </c>
      <c r="P20" s="31">
        <f>Datos!C37*(1-B20)</f>
        <v>7.080000000000001</v>
      </c>
      <c r="Q20" s="122">
        <f>P24-P23</f>
        <v>13275.48</v>
      </c>
      <c r="R20" s="31">
        <f>Datos!C38*(1-B20)</f>
        <v>12.980000000000002</v>
      </c>
      <c r="S20" s="122">
        <f>R24-R23</f>
        <v>13376.58</v>
      </c>
      <c r="T20" s="31">
        <f>Datos!C39*(1-B20)</f>
        <v>5.9</v>
      </c>
      <c r="U20" s="124">
        <f>T24-T23</f>
        <v>13011.699999999999</v>
      </c>
      <c r="V20" s="42"/>
      <c r="W20" s="23">
        <v>0.41</v>
      </c>
      <c r="X20" s="42"/>
      <c r="Y20" s="126"/>
      <c r="Z20" s="39"/>
      <c r="AA20" s="24"/>
      <c r="AB20" s="25"/>
      <c r="AC20" s="31">
        <f>Datos!D33*(1-W20)</f>
        <v>12.390000000000002</v>
      </c>
      <c r="AD20" s="122">
        <f>AC24-AC23</f>
        <v>17912.54</v>
      </c>
      <c r="AE20" s="31">
        <f>Datos!D34*(1-W20)</f>
        <v>16.520000000000003</v>
      </c>
      <c r="AF20" s="122">
        <f>AE24-AE23</f>
        <v>16659.37</v>
      </c>
      <c r="AG20" s="31">
        <f>Datos!D35*(1-W20)</f>
        <v>8.8500000000000014</v>
      </c>
      <c r="AH20" s="122">
        <f>AG24-AG23</f>
        <v>15757.55</v>
      </c>
      <c r="AI20" s="31">
        <f>Datos!D36*(1-W20)</f>
        <v>10.030000000000001</v>
      </c>
      <c r="AJ20" s="122">
        <f>AI24-AI23</f>
        <v>13436.03</v>
      </c>
      <c r="AK20" s="31">
        <f>Datos!D37*(1-W20)</f>
        <v>8.8500000000000014</v>
      </c>
      <c r="AL20" s="122">
        <f>AK24-AK23</f>
        <v>12658.45</v>
      </c>
      <c r="AM20" s="31">
        <f>Datos!D38*(1-W20)</f>
        <v>8.2600000000000016</v>
      </c>
      <c r="AN20" s="122">
        <f>AM24-AM23</f>
        <v>13075.01</v>
      </c>
      <c r="AO20" s="31">
        <f>Datos!D39*(1-W25)</f>
        <v>13.6</v>
      </c>
      <c r="AP20" s="124">
        <f>AO24-AO23</f>
        <v>12839.050000000001</v>
      </c>
    </row>
    <row r="21" spans="2:42" ht="15" customHeight="1" x14ac:dyDescent="0.3">
      <c r="D21" s="126"/>
      <c r="E21" s="39"/>
      <c r="F21" s="24"/>
      <c r="G21" s="25"/>
      <c r="H21" s="32"/>
      <c r="I21" s="122"/>
      <c r="J21" s="32"/>
      <c r="K21" s="122"/>
      <c r="L21" s="32"/>
      <c r="M21" s="122"/>
      <c r="N21" s="32"/>
      <c r="O21" s="122"/>
      <c r="P21" s="32"/>
      <c r="Q21" s="122"/>
      <c r="R21" s="32"/>
      <c r="S21" s="122"/>
      <c r="T21" s="32"/>
      <c r="U21" s="124"/>
      <c r="V21" s="42"/>
      <c r="X21" s="42"/>
      <c r="Y21" s="126"/>
      <c r="Z21" s="39"/>
      <c r="AA21" s="24"/>
      <c r="AB21" s="25"/>
      <c r="AC21" s="32"/>
      <c r="AD21" s="122"/>
      <c r="AE21" s="32"/>
      <c r="AF21" s="122"/>
      <c r="AG21" s="32"/>
      <c r="AH21" s="122"/>
      <c r="AI21" s="32"/>
      <c r="AJ21" s="122"/>
      <c r="AK21" s="32"/>
      <c r="AL21" s="122"/>
      <c r="AM21" s="32"/>
      <c r="AN21" s="122"/>
      <c r="AO21" s="32"/>
      <c r="AP21" s="124"/>
    </row>
    <row r="22" spans="2:42" ht="15" customHeight="1" x14ac:dyDescent="0.3">
      <c r="D22" s="126"/>
      <c r="E22" s="39"/>
      <c r="F22" s="24"/>
      <c r="G22" s="25"/>
      <c r="H22" s="32"/>
      <c r="I22" s="122"/>
      <c r="J22" s="32"/>
      <c r="K22" s="122"/>
      <c r="L22" s="32"/>
      <c r="M22" s="122"/>
      <c r="N22" s="32"/>
      <c r="O22" s="122"/>
      <c r="P22" s="32"/>
      <c r="Q22" s="122"/>
      <c r="R22" s="32"/>
      <c r="S22" s="122"/>
      <c r="T22" s="32"/>
      <c r="U22" s="124"/>
      <c r="V22" s="42"/>
      <c r="X22" s="42"/>
      <c r="Y22" s="126"/>
      <c r="Z22" s="39"/>
      <c r="AA22" s="24"/>
      <c r="AB22" s="25"/>
      <c r="AC22" s="32"/>
      <c r="AD22" s="122"/>
      <c r="AE22" s="32"/>
      <c r="AF22" s="122"/>
      <c r="AG22" s="32"/>
      <c r="AH22" s="122"/>
      <c r="AI22" s="32"/>
      <c r="AJ22" s="122"/>
      <c r="AK22" s="32"/>
      <c r="AL22" s="122"/>
      <c r="AM22" s="32"/>
      <c r="AN22" s="122"/>
      <c r="AO22" s="32"/>
      <c r="AP22" s="124"/>
    </row>
    <row r="23" spans="2:42" ht="15" customHeight="1" thickBot="1" x14ac:dyDescent="0.35">
      <c r="D23" s="126"/>
      <c r="E23" s="39"/>
      <c r="F23" s="24"/>
      <c r="G23" s="25"/>
      <c r="H23" s="33">
        <f>Datos!C33*B20</f>
        <v>9.02</v>
      </c>
      <c r="I23" s="122"/>
      <c r="J23" s="33">
        <f>Datos!C34*B20</f>
        <v>9.02</v>
      </c>
      <c r="K23" s="122"/>
      <c r="L23" s="33">
        <f>Datos!C35*B20</f>
        <v>7.7899999999999991</v>
      </c>
      <c r="M23" s="122"/>
      <c r="N23" s="33">
        <f>Datos!C36*B20</f>
        <v>8.1999999999999993</v>
      </c>
      <c r="O23" s="122"/>
      <c r="P23" s="33">
        <f>Datos!C37*B20</f>
        <v>4.92</v>
      </c>
      <c r="Q23" s="122"/>
      <c r="R23" s="33">
        <f>Datos!C38*B20</f>
        <v>9.02</v>
      </c>
      <c r="S23" s="122"/>
      <c r="T23" s="33">
        <f>Datos!C39*B20</f>
        <v>4.0999999999999996</v>
      </c>
      <c r="U23" s="124"/>
      <c r="V23" s="42"/>
      <c r="X23" s="42"/>
      <c r="Y23" s="126"/>
      <c r="Z23" s="39"/>
      <c r="AA23" s="24"/>
      <c r="AB23" s="25"/>
      <c r="AC23" s="33">
        <f>Datos!D33*W20</f>
        <v>8.61</v>
      </c>
      <c r="AD23" s="122"/>
      <c r="AE23" s="33">
        <f>Datos!D34*W20</f>
        <v>11.479999999999999</v>
      </c>
      <c r="AF23" s="122"/>
      <c r="AG23" s="33">
        <f>Datos!D35*W20</f>
        <v>6.1499999999999995</v>
      </c>
      <c r="AH23" s="122"/>
      <c r="AI23" s="33">
        <f>Datos!D36*W20</f>
        <v>6.97</v>
      </c>
      <c r="AJ23" s="122"/>
      <c r="AK23" s="33">
        <f>Datos!D37*W20</f>
        <v>6.1499999999999995</v>
      </c>
      <c r="AL23" s="122"/>
      <c r="AM23" s="33">
        <f>Datos!D38*W20</f>
        <v>5.7399999999999993</v>
      </c>
      <c r="AN23" s="122"/>
      <c r="AO23" s="33">
        <f>Datos!D39*W25</f>
        <v>2.4</v>
      </c>
      <c r="AP23" s="124"/>
    </row>
    <row r="24" spans="2:42" ht="15" customHeight="1" thickBot="1" x14ac:dyDescent="0.35">
      <c r="D24" s="126"/>
      <c r="E24" s="39">
        <v>1</v>
      </c>
      <c r="F24" s="24"/>
      <c r="G24" s="25"/>
      <c r="H24" s="26">
        <f>G25-H25</f>
        <v>18250.599999999999</v>
      </c>
      <c r="I24" s="25"/>
      <c r="J24" s="26">
        <f>I25-J25</f>
        <v>17399.800000000003</v>
      </c>
      <c r="K24" s="25"/>
      <c r="L24" s="26">
        <f>K25-L25</f>
        <v>16352.399999999998</v>
      </c>
      <c r="M24" s="25"/>
      <c r="N24" s="26">
        <f>M25-N25</f>
        <v>13781.400000000001</v>
      </c>
      <c r="O24" s="25"/>
      <c r="P24" s="26">
        <f>O25-P25</f>
        <v>13280.4</v>
      </c>
      <c r="Q24" s="25"/>
      <c r="R24" s="26">
        <f>Q25-R25</f>
        <v>13385.6</v>
      </c>
      <c r="S24" s="25"/>
      <c r="T24" s="26">
        <f>S25-T25</f>
        <v>13015.8</v>
      </c>
      <c r="U24" s="27"/>
      <c r="V24" s="27"/>
      <c r="X24" s="27"/>
      <c r="Y24" s="126"/>
      <c r="Z24" s="39">
        <v>1</v>
      </c>
      <c r="AA24" s="24"/>
      <c r="AB24" s="25"/>
      <c r="AC24" s="26">
        <f>AB25-AC25</f>
        <v>17921.150000000001</v>
      </c>
      <c r="AD24" s="25"/>
      <c r="AE24" s="26">
        <f>AD25-AE25</f>
        <v>16670.849999999999</v>
      </c>
      <c r="AF24" s="25"/>
      <c r="AG24" s="26">
        <f>AF25-AG25</f>
        <v>15763.699999999999</v>
      </c>
      <c r="AH24" s="25"/>
      <c r="AI24" s="26">
        <f>AH25-AI25</f>
        <v>13443</v>
      </c>
      <c r="AJ24" s="25"/>
      <c r="AK24" s="26">
        <f>AJ25-AK25</f>
        <v>12664.6</v>
      </c>
      <c r="AL24" s="25"/>
      <c r="AM24" s="26">
        <f>AL25-AM25</f>
        <v>13080.75</v>
      </c>
      <c r="AN24" s="25"/>
      <c r="AO24" s="26">
        <f>AN25-AO25</f>
        <v>12841.45</v>
      </c>
      <c r="AP24" s="27"/>
    </row>
    <row r="25" spans="2:42" ht="15" customHeight="1" x14ac:dyDescent="0.25">
      <c r="B25" s="23">
        <v>0.2</v>
      </c>
      <c r="D25" s="126"/>
      <c r="E25" s="39"/>
      <c r="F25" s="31">
        <f>Datos!E15*0.8</f>
        <v>236</v>
      </c>
      <c r="G25" s="122">
        <f>F29-F28</f>
        <v>18461</v>
      </c>
      <c r="H25" s="31">
        <f>Datos!E16*(1-B25)</f>
        <v>210.4</v>
      </c>
      <c r="I25" s="122">
        <f>H29-H28</f>
        <v>17621.400000000001</v>
      </c>
      <c r="J25" s="31">
        <f>Datos!E17*(1-B25)</f>
        <v>221.60000000000002</v>
      </c>
      <c r="K25" s="122">
        <f>J29-J28</f>
        <v>16503.599999999999</v>
      </c>
      <c r="L25" s="31">
        <f>Datos!E18*(1-B25)</f>
        <v>151.20000000000002</v>
      </c>
      <c r="M25" s="122">
        <f>L29-L28</f>
        <v>13962.2</v>
      </c>
      <c r="N25" s="31">
        <f>Datos!E19*(1-B25)</f>
        <v>180.8</v>
      </c>
      <c r="O25" s="122">
        <f>N29-N28</f>
        <v>13478.8</v>
      </c>
      <c r="P25" s="31">
        <f>Datos!E20*(1-B25)</f>
        <v>198.4</v>
      </c>
      <c r="Q25" s="122">
        <f>P29-P28</f>
        <v>13582.4</v>
      </c>
      <c r="R25" s="31">
        <f>Datos!E21*(1-B25)</f>
        <v>196.8</v>
      </c>
      <c r="S25" s="122">
        <f>R29-R28</f>
        <v>13167.8</v>
      </c>
      <c r="T25" s="31">
        <f>Datos!E22*(1-B25)</f>
        <v>152</v>
      </c>
      <c r="U25" s="124">
        <f>T29-T28</f>
        <v>12546</v>
      </c>
      <c r="V25" s="42"/>
      <c r="W25" s="23">
        <v>0.15</v>
      </c>
      <c r="X25" s="42"/>
      <c r="Y25" s="126"/>
      <c r="Z25" s="39"/>
      <c r="AA25" s="31">
        <f>Datos!F15*(1-W25)</f>
        <v>181.9</v>
      </c>
      <c r="AB25" s="122">
        <f>AA29-AA28</f>
        <v>18103.900000000001</v>
      </c>
      <c r="AC25" s="31">
        <f>Datos!F16*(1-W25)</f>
        <v>182.75</v>
      </c>
      <c r="AD25" s="122">
        <f>AC29-AC28</f>
        <v>16835.75</v>
      </c>
      <c r="AE25" s="31">
        <f>Datos!F17*(1-W25)</f>
        <v>164.9</v>
      </c>
      <c r="AF25" s="122">
        <f>AE29-AE28</f>
        <v>15892.9</v>
      </c>
      <c r="AG25" s="31">
        <f>Datos!F18*(1-W25)</f>
        <v>129.19999999999999</v>
      </c>
      <c r="AH25" s="122">
        <f>AG29-AG28</f>
        <v>13606.2</v>
      </c>
      <c r="AI25" s="31">
        <f>Datos!F19*(1-W25)</f>
        <v>163.19999999999999</v>
      </c>
      <c r="AJ25" s="122">
        <f>AI29-AI28</f>
        <v>12831.2</v>
      </c>
      <c r="AK25" s="31">
        <f>Datos!F20*(1-W25)</f>
        <v>166.6</v>
      </c>
      <c r="AL25" s="122">
        <f>AK29-AK28</f>
        <v>13234.6</v>
      </c>
      <c r="AM25" s="31">
        <f>Datos!F21*(1-W25)</f>
        <v>153.85</v>
      </c>
      <c r="AN25" s="122">
        <f>AM29-AM28</f>
        <v>12963.85</v>
      </c>
      <c r="AO25" s="31">
        <f>Datos!F22*(1-W25)</f>
        <v>122.39999999999999</v>
      </c>
      <c r="AP25" s="124">
        <f>AO29-AO28</f>
        <v>12114.4</v>
      </c>
    </row>
    <row r="26" spans="2:42" ht="15" customHeight="1" x14ac:dyDescent="0.25">
      <c r="D26" s="126"/>
      <c r="E26" s="39"/>
      <c r="F26" s="32"/>
      <c r="G26" s="122"/>
      <c r="H26" s="32"/>
      <c r="I26" s="122"/>
      <c r="J26" s="32"/>
      <c r="K26" s="122"/>
      <c r="L26" s="32"/>
      <c r="M26" s="122"/>
      <c r="N26" s="32"/>
      <c r="O26" s="122"/>
      <c r="P26" s="32"/>
      <c r="Q26" s="122"/>
      <c r="R26" s="32"/>
      <c r="S26" s="122"/>
      <c r="T26" s="32"/>
      <c r="U26" s="124"/>
      <c r="V26" s="42"/>
      <c r="X26" s="42"/>
      <c r="Y26" s="126"/>
      <c r="Z26" s="39"/>
      <c r="AA26" s="32"/>
      <c r="AB26" s="122"/>
      <c r="AC26" s="32"/>
      <c r="AD26" s="122"/>
      <c r="AE26" s="32"/>
      <c r="AF26" s="122"/>
      <c r="AG26" s="32"/>
      <c r="AH26" s="122"/>
      <c r="AI26" s="32"/>
      <c r="AJ26" s="122"/>
      <c r="AK26" s="32"/>
      <c r="AL26" s="122"/>
      <c r="AM26" s="32"/>
      <c r="AN26" s="122"/>
      <c r="AO26" s="32"/>
      <c r="AP26" s="124"/>
    </row>
    <row r="27" spans="2:42" ht="15" customHeight="1" x14ac:dyDescent="0.25">
      <c r="D27" s="126"/>
      <c r="E27" s="39"/>
      <c r="F27" s="32"/>
      <c r="G27" s="122"/>
      <c r="H27" s="32"/>
      <c r="I27" s="122"/>
      <c r="J27" s="32"/>
      <c r="K27" s="122"/>
      <c r="L27" s="32"/>
      <c r="M27" s="122"/>
      <c r="N27" s="32"/>
      <c r="O27" s="122"/>
      <c r="P27" s="32"/>
      <c r="Q27" s="122"/>
      <c r="R27" s="32"/>
      <c r="S27" s="122"/>
      <c r="T27" s="32"/>
      <c r="U27" s="124"/>
      <c r="V27" s="42"/>
      <c r="X27" s="42"/>
      <c r="Y27" s="126"/>
      <c r="Z27" s="39"/>
      <c r="AA27" s="32"/>
      <c r="AB27" s="122"/>
      <c r="AC27" s="32"/>
      <c r="AD27" s="122"/>
      <c r="AE27" s="32"/>
      <c r="AF27" s="122"/>
      <c r="AG27" s="32"/>
      <c r="AH27" s="122"/>
      <c r="AI27" s="32"/>
      <c r="AJ27" s="122"/>
      <c r="AK27" s="32"/>
      <c r="AL27" s="122"/>
      <c r="AM27" s="32"/>
      <c r="AN27" s="122"/>
      <c r="AO27" s="32"/>
      <c r="AP27" s="124"/>
    </row>
    <row r="28" spans="2:42" ht="15" customHeight="1" thickBot="1" x14ac:dyDescent="0.3">
      <c r="D28" s="126"/>
      <c r="E28" s="40">
        <v>0</v>
      </c>
      <c r="F28" s="33">
        <f>Datos!E15*B25</f>
        <v>59</v>
      </c>
      <c r="G28" s="122"/>
      <c r="H28" s="87">
        <f>Datos!E16*B25</f>
        <v>52.6</v>
      </c>
      <c r="I28" s="122"/>
      <c r="J28" s="87">
        <f>Datos!E17*B25</f>
        <v>55.400000000000006</v>
      </c>
      <c r="K28" s="122"/>
      <c r="L28" s="33">
        <f>Datos!E18*B25</f>
        <v>37.800000000000004</v>
      </c>
      <c r="M28" s="122"/>
      <c r="N28" s="33">
        <f>Datos!E19*B25</f>
        <v>45.2</v>
      </c>
      <c r="O28" s="122"/>
      <c r="P28" s="33">
        <f>Datos!E20*B25</f>
        <v>49.6</v>
      </c>
      <c r="Q28" s="122"/>
      <c r="R28" s="33">
        <f>Datos!E21*B25</f>
        <v>49.2</v>
      </c>
      <c r="S28" s="122"/>
      <c r="T28" s="33">
        <f>Datos!E22*B25</f>
        <v>38</v>
      </c>
      <c r="U28" s="124"/>
      <c r="V28" s="42"/>
      <c r="X28" s="42"/>
      <c r="Y28" s="126"/>
      <c r="Z28" s="40">
        <v>0</v>
      </c>
      <c r="AA28" s="33">
        <f>Datos!F15*W25</f>
        <v>32.1</v>
      </c>
      <c r="AB28" s="122"/>
      <c r="AC28" s="33">
        <f>Datos!F16*W25</f>
        <v>32.25</v>
      </c>
      <c r="AD28" s="122"/>
      <c r="AE28" s="33">
        <f>Datos!F17*W25</f>
        <v>29.099999999999998</v>
      </c>
      <c r="AF28" s="122"/>
      <c r="AG28" s="33">
        <f>Datos!F18*W25</f>
        <v>22.8</v>
      </c>
      <c r="AH28" s="122"/>
      <c r="AI28" s="33">
        <f>Datos!F19*W25</f>
        <v>28.799999999999997</v>
      </c>
      <c r="AJ28" s="122"/>
      <c r="AK28" s="33">
        <f>Datos!F20*W25</f>
        <v>29.4</v>
      </c>
      <c r="AL28" s="122"/>
      <c r="AM28" s="33">
        <f>Datos!F21*W25</f>
        <v>27.15</v>
      </c>
      <c r="AN28" s="122"/>
      <c r="AO28" s="33">
        <f>Datos!F22*W25</f>
        <v>21.599999999999998</v>
      </c>
      <c r="AP28" s="124"/>
    </row>
    <row r="29" spans="2:42" ht="15" customHeight="1" x14ac:dyDescent="0.2">
      <c r="E29" s="35"/>
      <c r="F29" s="26" t="str">
        <f>Datos!C15</f>
        <v>18,520</v>
      </c>
      <c r="G29" s="27"/>
      <c r="H29" s="26" t="str">
        <f>Datos!C16</f>
        <v>17,674</v>
      </c>
      <c r="I29" s="27"/>
      <c r="J29" s="26" t="str">
        <f>Datos!C17</f>
        <v>16,559</v>
      </c>
      <c r="K29" s="27"/>
      <c r="L29" s="26" t="str">
        <f>Datos!C18</f>
        <v>14,000</v>
      </c>
      <c r="M29" s="27"/>
      <c r="N29" s="26" t="str">
        <f>Datos!C19</f>
        <v>13,524</v>
      </c>
      <c r="O29" s="27"/>
      <c r="P29" s="26">
        <f>Datos!C20</f>
        <v>13632</v>
      </c>
      <c r="Q29" s="27"/>
      <c r="R29" s="26" t="str">
        <f>Datos!C21</f>
        <v>13,217</v>
      </c>
      <c r="S29" s="27"/>
      <c r="T29" s="26" t="str">
        <f>Datos!C22</f>
        <v>12,584</v>
      </c>
      <c r="U29" s="27"/>
      <c r="V29" s="27"/>
      <c r="X29" s="27"/>
      <c r="Y29" s="126"/>
      <c r="AA29" s="26" t="str">
        <f>Datos!D15</f>
        <v>18,136</v>
      </c>
      <c r="AB29" s="27"/>
      <c r="AC29" s="26" t="str">
        <f>Datos!D16</f>
        <v>16,868</v>
      </c>
      <c r="AD29" s="27"/>
      <c r="AE29" s="26" t="str">
        <f>Datos!D17</f>
        <v>15,922</v>
      </c>
      <c r="AF29" s="27"/>
      <c r="AG29" s="26" t="str">
        <f>Datos!D18</f>
        <v>13,629</v>
      </c>
      <c r="AH29" s="27"/>
      <c r="AI29" s="26" t="str">
        <f>Datos!D19</f>
        <v>12,860</v>
      </c>
      <c r="AJ29" s="27"/>
      <c r="AK29" s="26">
        <f>Datos!D20</f>
        <v>13264</v>
      </c>
      <c r="AL29" s="27"/>
      <c r="AM29" s="26" t="str">
        <f>Datos!D21</f>
        <v>12,991</v>
      </c>
      <c r="AN29" s="27"/>
      <c r="AO29" s="26" t="str">
        <f>Datos!D22</f>
        <v>12,136</v>
      </c>
      <c r="AP29" s="27"/>
    </row>
    <row r="30" spans="2:42" s="37" customFormat="1" ht="15" customHeight="1" x14ac:dyDescent="0.3">
      <c r="F30" s="36">
        <v>2017</v>
      </c>
      <c r="G30" s="36"/>
      <c r="H30" s="36">
        <v>2018</v>
      </c>
      <c r="I30" s="36"/>
      <c r="J30" s="36">
        <v>2019</v>
      </c>
      <c r="K30" s="36"/>
      <c r="L30" s="36">
        <v>2020</v>
      </c>
      <c r="M30" s="36"/>
      <c r="N30" s="36">
        <v>2021</v>
      </c>
      <c r="O30" s="36"/>
      <c r="P30" s="36">
        <v>2022</v>
      </c>
      <c r="Q30" s="36"/>
      <c r="R30" s="36">
        <v>2023</v>
      </c>
      <c r="S30" s="36"/>
      <c r="T30" s="36">
        <v>2024</v>
      </c>
      <c r="Z30" s="41"/>
      <c r="AA30" s="36">
        <v>2017</v>
      </c>
      <c r="AB30" s="36"/>
      <c r="AC30" s="36">
        <v>2018</v>
      </c>
      <c r="AD30" s="36"/>
      <c r="AE30" s="36">
        <v>2019</v>
      </c>
      <c r="AF30" s="36"/>
      <c r="AG30" s="36">
        <v>2020</v>
      </c>
      <c r="AH30" s="36"/>
      <c r="AI30" s="36">
        <v>2021</v>
      </c>
      <c r="AJ30" s="36"/>
      <c r="AK30" s="36">
        <v>2022</v>
      </c>
      <c r="AL30" s="36"/>
      <c r="AM30" s="36">
        <v>2023</v>
      </c>
      <c r="AN30" s="36"/>
      <c r="AO30" s="36">
        <v>2024</v>
      </c>
    </row>
    <row r="31" spans="2:42" s="22" customFormat="1" x14ac:dyDescent="0.3">
      <c r="F31" s="125" t="s">
        <v>1</v>
      </c>
      <c r="G31" s="125"/>
      <c r="H31" s="125"/>
      <c r="I31" s="125"/>
      <c r="J31" s="125"/>
      <c r="K31" s="125"/>
      <c r="L31" s="125"/>
      <c r="M31" s="125"/>
      <c r="N31" s="125"/>
      <c r="O31" s="125"/>
      <c r="P31" s="125"/>
      <c r="Q31" s="125"/>
      <c r="R31" s="125"/>
      <c r="S31" s="125"/>
      <c r="T31" s="125"/>
      <c r="AA31" s="125" t="s">
        <v>1</v>
      </c>
      <c r="AB31" s="125"/>
      <c r="AC31" s="125"/>
      <c r="AD31" s="125"/>
      <c r="AE31" s="125"/>
      <c r="AF31" s="125"/>
      <c r="AG31" s="125"/>
      <c r="AH31" s="125"/>
      <c r="AI31" s="125"/>
      <c r="AJ31" s="125"/>
      <c r="AK31" s="125"/>
      <c r="AL31" s="125"/>
      <c r="AM31" s="125"/>
      <c r="AN31" s="125"/>
      <c r="AO31" s="125"/>
    </row>
    <row r="32" spans="2:42" x14ac:dyDescent="0.2">
      <c r="J32" s="43"/>
      <c r="K32" s="43"/>
      <c r="L32" s="43"/>
      <c r="M32" s="43"/>
      <c r="N32" s="43"/>
      <c r="O32" s="43"/>
      <c r="P32" s="43"/>
      <c r="Q32" s="43"/>
      <c r="R32" s="43"/>
      <c r="S32" s="43"/>
      <c r="T32" s="43"/>
      <c r="U32" s="43"/>
      <c r="V32" s="43"/>
      <c r="X32" s="43"/>
      <c r="Y32" s="43"/>
      <c r="Z32" s="43"/>
      <c r="AA32" s="43"/>
      <c r="AB32" s="43"/>
      <c r="AC32" s="43"/>
      <c r="AD32" s="43"/>
      <c r="AE32" s="43"/>
      <c r="AF32" s="43"/>
      <c r="AG32" s="43"/>
      <c r="AH32" s="43"/>
      <c r="AI32" s="43"/>
      <c r="AJ32" s="43"/>
      <c r="AK32" s="43"/>
      <c r="AL32" s="43"/>
      <c r="AM32" s="43"/>
      <c r="AN32" s="43"/>
      <c r="AO32" s="43"/>
    </row>
    <row r="33" spans="6:41" ht="15" x14ac:dyDescent="0.35">
      <c r="F33" s="23" t="s">
        <v>21</v>
      </c>
      <c r="P33" s="43"/>
      <c r="Q33" s="43"/>
      <c r="R33" s="43"/>
      <c r="AC33" s="43"/>
      <c r="AD33" s="43"/>
      <c r="AE33" s="43"/>
      <c r="AF33" s="43"/>
      <c r="AG33" s="43"/>
      <c r="AH33" s="43"/>
      <c r="AI33" s="43"/>
      <c r="AJ33" s="43"/>
      <c r="AK33" s="43"/>
      <c r="AL33" s="43"/>
      <c r="AM33" s="43"/>
      <c r="AN33" s="43"/>
      <c r="AO33" s="43"/>
    </row>
    <row r="34" spans="6:41" x14ac:dyDescent="0.2">
      <c r="P34" s="43"/>
      <c r="Q34" s="43"/>
      <c r="R34" s="43"/>
      <c r="AC34" s="43"/>
      <c r="AD34" s="43"/>
      <c r="AE34" s="43"/>
      <c r="AF34" s="43"/>
      <c r="AG34" s="43"/>
      <c r="AH34" s="43"/>
      <c r="AI34" s="43"/>
      <c r="AJ34" s="43"/>
      <c r="AK34" s="43"/>
      <c r="AL34" s="43"/>
      <c r="AM34" s="43"/>
      <c r="AN34" s="43"/>
      <c r="AO34" s="43"/>
    </row>
    <row r="35" spans="6:41" x14ac:dyDescent="0.2">
      <c r="P35" s="43"/>
      <c r="Q35" s="43"/>
      <c r="R35" s="43"/>
      <c r="AC35" s="43"/>
      <c r="AD35" s="43"/>
      <c r="AE35" s="43"/>
      <c r="AF35" s="43"/>
      <c r="AG35" s="43"/>
      <c r="AH35" s="43"/>
      <c r="AI35" s="43"/>
      <c r="AJ35" s="43"/>
      <c r="AK35" s="43"/>
      <c r="AL35" s="43"/>
      <c r="AM35" s="43"/>
      <c r="AN35" s="43"/>
      <c r="AO35" s="43"/>
    </row>
    <row r="36" spans="6:41" x14ac:dyDescent="0.2">
      <c r="P36" s="43"/>
      <c r="Q36" s="43"/>
      <c r="R36" s="43"/>
      <c r="AC36" s="43"/>
      <c r="AD36" s="43"/>
      <c r="AE36" s="43"/>
      <c r="AF36" s="43"/>
      <c r="AG36" s="43"/>
      <c r="AH36" s="43"/>
      <c r="AI36" s="43"/>
      <c r="AJ36" s="43"/>
      <c r="AK36" s="43"/>
      <c r="AL36" s="43"/>
      <c r="AM36" s="43"/>
      <c r="AN36" s="43"/>
      <c r="AO36" s="43"/>
    </row>
    <row r="37" spans="6:41" x14ac:dyDescent="0.2">
      <c r="P37" s="43"/>
      <c r="Q37" s="43"/>
      <c r="R37" s="43"/>
      <c r="AC37" s="43"/>
      <c r="AD37" s="43"/>
      <c r="AE37" s="43"/>
      <c r="AF37" s="43"/>
      <c r="AG37" s="43"/>
      <c r="AH37" s="43"/>
      <c r="AI37" s="43"/>
      <c r="AJ37" s="43"/>
      <c r="AK37" s="43"/>
      <c r="AL37" s="43"/>
      <c r="AM37" s="43"/>
      <c r="AN37" s="43"/>
      <c r="AO37" s="43"/>
    </row>
    <row r="38" spans="6:41" x14ac:dyDescent="0.2">
      <c r="P38" s="43"/>
      <c r="Q38" s="43"/>
      <c r="R38" s="43"/>
      <c r="AC38" s="43"/>
      <c r="AD38" s="43"/>
      <c r="AE38" s="43"/>
      <c r="AF38" s="43"/>
      <c r="AG38" s="43"/>
      <c r="AH38" s="43"/>
      <c r="AI38" s="43"/>
      <c r="AJ38" s="43"/>
      <c r="AK38" s="43"/>
      <c r="AL38" s="43"/>
      <c r="AM38" s="43"/>
      <c r="AN38" s="43"/>
      <c r="AO38" s="43"/>
    </row>
    <row r="39" spans="6:41" x14ac:dyDescent="0.2">
      <c r="P39" s="43"/>
      <c r="Q39" s="43"/>
      <c r="R39" s="43"/>
      <c r="AC39" s="43"/>
      <c r="AD39" s="43"/>
      <c r="AE39" s="43"/>
      <c r="AF39" s="43"/>
      <c r="AG39" s="43"/>
      <c r="AH39" s="43"/>
      <c r="AI39" s="43"/>
      <c r="AJ39" s="43"/>
      <c r="AK39" s="43"/>
      <c r="AL39" s="43"/>
      <c r="AM39" s="43"/>
      <c r="AN39" s="43"/>
      <c r="AO39" s="43"/>
    </row>
    <row r="40" spans="6:41" x14ac:dyDescent="0.2">
      <c r="P40" s="43"/>
      <c r="Q40" s="43"/>
      <c r="R40" s="43"/>
      <c r="AC40" s="43"/>
      <c r="AD40" s="43"/>
      <c r="AE40" s="43"/>
      <c r="AF40" s="43"/>
      <c r="AG40" s="43"/>
      <c r="AH40" s="43"/>
      <c r="AI40" s="43"/>
      <c r="AJ40" s="43"/>
      <c r="AK40" s="43"/>
      <c r="AL40" s="43"/>
      <c r="AM40" s="43"/>
      <c r="AN40" s="43"/>
      <c r="AO40" s="43"/>
    </row>
    <row r="41" spans="6:41" x14ac:dyDescent="0.2">
      <c r="J41" s="43"/>
      <c r="K41" s="43"/>
      <c r="L41" s="43"/>
      <c r="M41" s="43"/>
      <c r="N41" s="43"/>
      <c r="O41" s="43"/>
      <c r="P41" s="43"/>
      <c r="Q41" s="43"/>
      <c r="R41" s="43"/>
      <c r="S41" s="43"/>
      <c r="T41" s="43"/>
      <c r="U41" s="43"/>
      <c r="V41" s="43"/>
      <c r="X41" s="43"/>
      <c r="Y41" s="43"/>
      <c r="Z41" s="43"/>
      <c r="AA41" s="43"/>
      <c r="AB41" s="43"/>
      <c r="AC41" s="43"/>
      <c r="AD41" s="43"/>
      <c r="AE41" s="43"/>
      <c r="AF41" s="43"/>
      <c r="AG41" s="43"/>
      <c r="AH41" s="43"/>
      <c r="AI41" s="43"/>
      <c r="AJ41" s="43"/>
      <c r="AK41" s="43"/>
      <c r="AL41" s="43"/>
      <c r="AM41" s="43"/>
      <c r="AN41" s="43"/>
      <c r="AO41" s="43"/>
    </row>
    <row r="42" spans="6:41" x14ac:dyDescent="0.2">
      <c r="J42" s="43"/>
      <c r="K42" s="43"/>
      <c r="L42" s="43"/>
      <c r="M42" s="43"/>
      <c r="N42" s="43"/>
      <c r="O42" s="43"/>
      <c r="P42" s="43"/>
      <c r="Q42" s="43"/>
      <c r="R42" s="43"/>
      <c r="S42" s="43"/>
      <c r="T42" s="43"/>
      <c r="U42" s="43"/>
      <c r="V42" s="43"/>
      <c r="X42" s="43"/>
      <c r="Y42" s="43"/>
      <c r="Z42" s="43"/>
      <c r="AA42" s="43"/>
      <c r="AB42" s="43"/>
      <c r="AC42" s="43"/>
      <c r="AD42" s="43"/>
      <c r="AE42" s="43"/>
      <c r="AF42" s="43"/>
      <c r="AG42" s="43"/>
      <c r="AH42" s="43"/>
      <c r="AI42" s="43"/>
      <c r="AJ42" s="43"/>
      <c r="AK42" s="43"/>
      <c r="AL42" s="43"/>
      <c r="AM42" s="43"/>
      <c r="AN42" s="43"/>
      <c r="AO42" s="43"/>
    </row>
    <row r="43" spans="6:41" x14ac:dyDescent="0.2">
      <c r="J43" s="43"/>
      <c r="K43" s="43"/>
      <c r="L43" s="43"/>
      <c r="M43" s="43"/>
      <c r="N43" s="43"/>
      <c r="O43" s="43"/>
      <c r="P43" s="43"/>
      <c r="Q43" s="43"/>
      <c r="R43" s="43"/>
      <c r="S43" s="43"/>
      <c r="T43" s="43"/>
      <c r="U43" s="43"/>
      <c r="V43" s="43"/>
      <c r="X43" s="43"/>
      <c r="Y43" s="43"/>
      <c r="Z43" s="43"/>
      <c r="AA43" s="43"/>
      <c r="AB43" s="43"/>
      <c r="AC43" s="43"/>
      <c r="AD43" s="43"/>
      <c r="AE43" s="43"/>
      <c r="AF43" s="43"/>
      <c r="AG43" s="43"/>
      <c r="AH43" s="43"/>
      <c r="AI43" s="43"/>
      <c r="AJ43" s="43"/>
      <c r="AK43" s="43"/>
      <c r="AL43" s="43"/>
      <c r="AM43" s="43"/>
      <c r="AN43" s="43"/>
      <c r="AO43" s="43"/>
    </row>
    <row r="44" spans="6:41" x14ac:dyDescent="0.2">
      <c r="J44" s="43"/>
      <c r="K44" s="43"/>
      <c r="L44" s="43"/>
      <c r="M44" s="43"/>
      <c r="N44" s="43"/>
      <c r="O44" s="43"/>
      <c r="P44" s="43"/>
      <c r="Q44" s="43"/>
      <c r="R44" s="43"/>
      <c r="S44" s="43"/>
      <c r="T44" s="43"/>
      <c r="U44" s="43"/>
      <c r="V44" s="43"/>
      <c r="X44" s="43"/>
      <c r="Y44" s="43"/>
      <c r="Z44" s="43"/>
      <c r="AA44" s="43"/>
      <c r="AB44" s="43"/>
      <c r="AC44" s="43"/>
      <c r="AD44" s="43"/>
      <c r="AE44" s="43"/>
      <c r="AF44" s="43"/>
      <c r="AG44" s="43"/>
      <c r="AH44" s="43"/>
      <c r="AI44" s="43"/>
      <c r="AJ44" s="43"/>
      <c r="AK44" s="43"/>
      <c r="AL44" s="43"/>
      <c r="AM44" s="43"/>
      <c r="AN44" s="43"/>
      <c r="AO44" s="43"/>
    </row>
    <row r="45" spans="6:41" x14ac:dyDescent="0.2">
      <c r="J45" s="43"/>
      <c r="K45" s="43"/>
      <c r="L45" s="43"/>
      <c r="M45" s="43"/>
      <c r="N45" s="43"/>
      <c r="O45" s="43"/>
      <c r="P45" s="43"/>
      <c r="Q45" s="43"/>
      <c r="R45" s="43"/>
      <c r="S45" s="43"/>
      <c r="T45" s="43"/>
      <c r="U45" s="43"/>
      <c r="V45" s="43"/>
      <c r="X45" s="43"/>
      <c r="Y45" s="43"/>
      <c r="Z45" s="43"/>
      <c r="AA45" s="43"/>
      <c r="AB45" s="43"/>
      <c r="AC45" s="43"/>
      <c r="AD45" s="43"/>
      <c r="AE45" s="43"/>
      <c r="AF45" s="43"/>
      <c r="AG45" s="43"/>
      <c r="AH45" s="43"/>
      <c r="AI45" s="43"/>
      <c r="AJ45" s="43"/>
      <c r="AK45" s="43"/>
      <c r="AL45" s="43"/>
      <c r="AM45" s="43"/>
      <c r="AN45" s="43"/>
      <c r="AO45" s="43"/>
    </row>
    <row r="49" spans="10:41" x14ac:dyDescent="0.2">
      <c r="J49" s="43"/>
      <c r="K49" s="43"/>
      <c r="L49" s="43"/>
      <c r="M49" s="43"/>
      <c r="N49" s="43"/>
      <c r="O49" s="43"/>
      <c r="P49" s="43"/>
      <c r="Q49" s="43"/>
      <c r="R49" s="43"/>
      <c r="S49" s="43"/>
      <c r="T49" s="43"/>
      <c r="AE49" s="43"/>
      <c r="AF49" s="43"/>
      <c r="AG49" s="43"/>
      <c r="AH49" s="43"/>
      <c r="AI49" s="43"/>
      <c r="AJ49" s="43"/>
      <c r="AK49" s="43"/>
      <c r="AL49" s="43"/>
      <c r="AM49" s="43"/>
      <c r="AN49" s="43"/>
      <c r="AO49" s="43"/>
    </row>
    <row r="50" spans="10:41" x14ac:dyDescent="0.2">
      <c r="J50" s="43"/>
      <c r="K50" s="43"/>
      <c r="L50" s="43"/>
      <c r="M50" s="43"/>
      <c r="N50" s="43"/>
      <c r="O50" s="43"/>
      <c r="P50" s="43"/>
      <c r="Q50" s="43"/>
      <c r="R50" s="43"/>
      <c r="S50" s="43"/>
      <c r="T50" s="43"/>
      <c r="AE50" s="43"/>
      <c r="AF50" s="43"/>
      <c r="AG50" s="43"/>
      <c r="AH50" s="43"/>
      <c r="AI50" s="43"/>
      <c r="AJ50" s="43"/>
      <c r="AK50" s="43"/>
      <c r="AL50" s="43"/>
      <c r="AM50" s="43"/>
      <c r="AN50" s="43"/>
      <c r="AO50" s="43"/>
    </row>
    <row r="51" spans="10:41" x14ac:dyDescent="0.2">
      <c r="J51" s="43"/>
      <c r="K51" s="43"/>
      <c r="L51" s="43"/>
      <c r="M51" s="43"/>
      <c r="N51" s="43"/>
      <c r="O51" s="43"/>
      <c r="P51" s="43"/>
      <c r="Q51" s="43"/>
      <c r="R51" s="43"/>
      <c r="S51" s="43"/>
      <c r="T51" s="43"/>
      <c r="AE51" s="43"/>
      <c r="AF51" s="43"/>
      <c r="AG51" s="43"/>
      <c r="AH51" s="43"/>
      <c r="AI51" s="43"/>
      <c r="AJ51" s="43"/>
      <c r="AK51" s="43"/>
      <c r="AL51" s="43"/>
      <c r="AM51" s="43"/>
      <c r="AN51" s="43"/>
      <c r="AO51" s="43"/>
    </row>
    <row r="52" spans="10:41" x14ac:dyDescent="0.2">
      <c r="J52" s="43"/>
      <c r="K52" s="43"/>
      <c r="L52" s="43"/>
      <c r="M52" s="43"/>
      <c r="N52" s="43"/>
      <c r="O52" s="43"/>
      <c r="P52" s="43"/>
      <c r="Q52" s="43"/>
      <c r="R52" s="43"/>
      <c r="S52" s="43"/>
      <c r="T52" s="43"/>
      <c r="AE52" s="43"/>
      <c r="AF52" s="43"/>
      <c r="AG52" s="43"/>
      <c r="AH52" s="43"/>
      <c r="AI52" s="43"/>
      <c r="AJ52" s="43"/>
      <c r="AK52" s="43"/>
      <c r="AL52" s="43"/>
      <c r="AM52" s="43"/>
      <c r="AN52" s="43"/>
      <c r="AO52" s="43"/>
    </row>
    <row r="53" spans="10:41" x14ac:dyDescent="0.2">
      <c r="J53" s="43"/>
      <c r="K53" s="43"/>
      <c r="L53" s="43"/>
      <c r="M53" s="43"/>
      <c r="N53" s="43"/>
      <c r="O53" s="43"/>
      <c r="P53" s="43"/>
      <c r="Q53" s="43"/>
      <c r="R53" s="43"/>
      <c r="S53" s="43"/>
      <c r="T53" s="43"/>
      <c r="AE53" s="43"/>
      <c r="AF53" s="43"/>
      <c r="AG53" s="43"/>
      <c r="AH53" s="43"/>
      <c r="AI53" s="43"/>
      <c r="AJ53" s="43"/>
      <c r="AK53" s="43"/>
      <c r="AL53" s="43"/>
      <c r="AM53" s="43"/>
      <c r="AN53" s="43"/>
      <c r="AO53" s="43"/>
    </row>
    <row r="54" spans="10:41" x14ac:dyDescent="0.2">
      <c r="J54" s="43"/>
      <c r="K54" s="43"/>
      <c r="L54" s="43"/>
      <c r="M54" s="43"/>
      <c r="N54" s="43"/>
      <c r="O54" s="43"/>
      <c r="P54" s="43"/>
      <c r="Q54" s="43"/>
      <c r="R54" s="43"/>
      <c r="S54" s="43"/>
      <c r="T54" s="43"/>
      <c r="AE54" s="43"/>
      <c r="AF54" s="43"/>
      <c r="AG54" s="43"/>
      <c r="AH54" s="43"/>
      <c r="AI54" s="43"/>
      <c r="AJ54" s="43"/>
      <c r="AK54" s="43"/>
      <c r="AL54" s="43"/>
      <c r="AM54" s="43"/>
      <c r="AN54" s="43"/>
      <c r="AO54" s="43"/>
    </row>
    <row r="55" spans="10:41" x14ac:dyDescent="0.2">
      <c r="J55" s="43"/>
      <c r="K55" s="43"/>
      <c r="L55" s="43"/>
      <c r="M55" s="43"/>
      <c r="N55" s="43"/>
      <c r="O55" s="43"/>
      <c r="P55" s="43"/>
      <c r="Q55" s="43"/>
      <c r="R55" s="43"/>
      <c r="S55" s="43"/>
      <c r="T55" s="43"/>
      <c r="AE55" s="43"/>
      <c r="AF55" s="43"/>
      <c r="AG55" s="43"/>
      <c r="AH55" s="43"/>
      <c r="AI55" s="43"/>
      <c r="AJ55" s="43"/>
      <c r="AK55" s="43"/>
      <c r="AL55" s="43"/>
      <c r="AM55" s="43"/>
      <c r="AN55" s="43"/>
      <c r="AO55" s="43"/>
    </row>
    <row r="56" spans="10:41" x14ac:dyDescent="0.2">
      <c r="J56" s="43"/>
      <c r="K56" s="43"/>
      <c r="L56" s="43"/>
      <c r="M56" s="43"/>
      <c r="N56" s="43"/>
      <c r="O56" s="43"/>
      <c r="P56" s="43"/>
      <c r="Q56" s="43"/>
      <c r="R56" s="43"/>
      <c r="S56" s="43"/>
      <c r="T56" s="43"/>
      <c r="AE56" s="43"/>
      <c r="AF56" s="43"/>
      <c r="AG56" s="43"/>
      <c r="AH56" s="43"/>
      <c r="AI56" s="43"/>
      <c r="AJ56" s="43"/>
      <c r="AK56" s="43"/>
      <c r="AL56" s="43"/>
      <c r="AM56" s="43"/>
      <c r="AN56" s="43"/>
      <c r="AO56" s="43"/>
    </row>
    <row r="57" spans="10:41" x14ac:dyDescent="0.2">
      <c r="J57" s="43"/>
      <c r="K57" s="43"/>
      <c r="L57" s="43"/>
      <c r="M57" s="43"/>
      <c r="N57" s="43"/>
      <c r="O57" s="43"/>
      <c r="P57" s="43"/>
      <c r="Q57" s="43"/>
      <c r="R57" s="43"/>
      <c r="S57" s="43"/>
      <c r="T57" s="43"/>
      <c r="AE57" s="43"/>
      <c r="AF57" s="43"/>
      <c r="AG57" s="43"/>
      <c r="AH57" s="43"/>
      <c r="AI57" s="43"/>
      <c r="AJ57" s="43"/>
      <c r="AK57" s="43"/>
      <c r="AL57" s="43"/>
      <c r="AM57" s="43"/>
      <c r="AN57" s="43"/>
      <c r="AO57" s="43"/>
    </row>
    <row r="58" spans="10:41" x14ac:dyDescent="0.2">
      <c r="J58" s="43"/>
      <c r="K58" s="43"/>
      <c r="L58" s="43"/>
      <c r="M58" s="43"/>
      <c r="N58" s="43"/>
      <c r="O58" s="43"/>
      <c r="P58" s="43"/>
      <c r="Q58" s="43"/>
      <c r="R58" s="43"/>
      <c r="S58" s="43"/>
      <c r="T58" s="43"/>
      <c r="AE58" s="43"/>
      <c r="AF58" s="43"/>
      <c r="AG58" s="43"/>
      <c r="AH58" s="43"/>
      <c r="AI58" s="43"/>
      <c r="AJ58" s="43"/>
      <c r="AK58" s="43"/>
      <c r="AL58" s="43"/>
      <c r="AM58" s="43"/>
      <c r="AN58" s="43"/>
      <c r="AO58" s="43"/>
    </row>
    <row r="59" spans="10:41" x14ac:dyDescent="0.2">
      <c r="J59" s="43"/>
      <c r="K59" s="43"/>
      <c r="L59" s="43"/>
      <c r="M59" s="43"/>
      <c r="N59" s="43"/>
      <c r="O59" s="43"/>
      <c r="P59" s="43"/>
      <c r="Q59" s="43"/>
      <c r="R59" s="43"/>
      <c r="S59" s="43"/>
      <c r="T59" s="43"/>
      <c r="AE59" s="43"/>
      <c r="AF59" s="43"/>
      <c r="AG59" s="43"/>
      <c r="AH59" s="43"/>
      <c r="AI59" s="43"/>
      <c r="AJ59" s="43"/>
      <c r="AK59" s="43"/>
      <c r="AL59" s="43"/>
      <c r="AM59" s="43"/>
      <c r="AN59" s="43"/>
      <c r="AO59" s="43"/>
    </row>
    <row r="60" spans="10:41" x14ac:dyDescent="0.2">
      <c r="J60" s="43"/>
      <c r="K60" s="43"/>
      <c r="L60" s="43"/>
      <c r="M60" s="43"/>
      <c r="N60" s="43"/>
      <c r="O60" s="43"/>
      <c r="P60" s="43"/>
      <c r="Q60" s="43"/>
      <c r="R60" s="43"/>
      <c r="S60" s="43"/>
      <c r="T60" s="43"/>
      <c r="AE60" s="43"/>
      <c r="AF60" s="43"/>
      <c r="AG60" s="43"/>
      <c r="AH60" s="43"/>
      <c r="AI60" s="43"/>
      <c r="AJ60" s="43"/>
      <c r="AK60" s="43"/>
      <c r="AL60" s="43"/>
      <c r="AM60" s="43"/>
      <c r="AN60" s="43"/>
      <c r="AO60" s="43"/>
    </row>
    <row r="61" spans="10:41" x14ac:dyDescent="0.2">
      <c r="J61" s="43"/>
      <c r="K61" s="43"/>
      <c r="L61" s="43"/>
      <c r="M61" s="43"/>
      <c r="N61" s="43"/>
      <c r="O61" s="43"/>
      <c r="P61" s="43"/>
      <c r="Q61" s="43"/>
      <c r="R61" s="43"/>
      <c r="S61" s="43"/>
      <c r="T61" s="43"/>
      <c r="AE61" s="43"/>
      <c r="AF61" s="43"/>
      <c r="AG61" s="43"/>
      <c r="AH61" s="43"/>
      <c r="AI61" s="43"/>
      <c r="AJ61" s="43"/>
      <c r="AK61" s="43"/>
      <c r="AL61" s="43"/>
      <c r="AM61" s="43"/>
      <c r="AN61" s="43"/>
      <c r="AO61" s="43"/>
    </row>
    <row r="62" spans="10:41" x14ac:dyDescent="0.2">
      <c r="J62" s="43"/>
      <c r="K62" s="43"/>
      <c r="L62" s="43"/>
      <c r="M62" s="43"/>
      <c r="N62" s="43"/>
      <c r="O62" s="43"/>
      <c r="P62" s="43"/>
      <c r="Q62" s="43"/>
      <c r="R62" s="43"/>
      <c r="S62" s="43"/>
      <c r="T62" s="43"/>
      <c r="AE62" s="43"/>
      <c r="AF62" s="43"/>
      <c r="AG62" s="43"/>
      <c r="AH62" s="43"/>
      <c r="AI62" s="43"/>
      <c r="AJ62" s="43"/>
      <c r="AK62" s="43"/>
      <c r="AL62" s="43"/>
      <c r="AM62" s="43"/>
      <c r="AN62" s="43"/>
      <c r="AO62" s="43"/>
    </row>
    <row r="63" spans="10:41" x14ac:dyDescent="0.2">
      <c r="J63" s="43"/>
      <c r="K63" s="43"/>
      <c r="L63" s="43"/>
      <c r="M63" s="43"/>
      <c r="N63" s="43"/>
      <c r="O63" s="43"/>
      <c r="P63" s="43"/>
      <c r="Q63" s="43"/>
      <c r="R63" s="43"/>
      <c r="S63" s="43"/>
      <c r="T63" s="43"/>
      <c r="AE63" s="43"/>
      <c r="AF63" s="43"/>
      <c r="AG63" s="43"/>
      <c r="AH63" s="43"/>
      <c r="AI63" s="43"/>
      <c r="AJ63" s="43"/>
      <c r="AK63" s="43"/>
      <c r="AL63" s="43"/>
      <c r="AM63" s="43"/>
      <c r="AN63" s="43"/>
      <c r="AO63" s="43"/>
    </row>
    <row r="64" spans="10:41" x14ac:dyDescent="0.2">
      <c r="J64" s="43"/>
      <c r="K64" s="43"/>
      <c r="L64" s="43"/>
      <c r="M64" s="43"/>
      <c r="N64" s="43"/>
      <c r="O64" s="43"/>
      <c r="P64" s="43"/>
      <c r="Q64" s="43"/>
      <c r="R64" s="43"/>
      <c r="S64" s="43"/>
      <c r="T64" s="43"/>
      <c r="AE64" s="43"/>
      <c r="AF64" s="43"/>
      <c r="AG64" s="43"/>
      <c r="AH64" s="43"/>
      <c r="AI64" s="43"/>
      <c r="AJ64" s="43"/>
      <c r="AK64" s="43"/>
      <c r="AL64" s="43"/>
      <c r="AM64" s="43"/>
      <c r="AN64" s="43"/>
      <c r="AO64" s="43"/>
    </row>
    <row r="65" spans="10:41" x14ac:dyDescent="0.2">
      <c r="J65" s="43"/>
      <c r="K65" s="43"/>
      <c r="L65" s="43"/>
      <c r="M65" s="43"/>
      <c r="N65" s="43"/>
      <c r="O65" s="43"/>
      <c r="P65" s="43"/>
      <c r="Q65" s="43"/>
      <c r="R65" s="43"/>
      <c r="S65" s="43"/>
      <c r="T65" s="43"/>
      <c r="AE65" s="43"/>
      <c r="AF65" s="43"/>
      <c r="AG65" s="43"/>
      <c r="AH65" s="43"/>
      <c r="AI65" s="43"/>
      <c r="AJ65" s="43"/>
      <c r="AK65" s="43"/>
      <c r="AL65" s="43"/>
      <c r="AM65" s="43"/>
      <c r="AN65" s="43"/>
      <c r="AO65" s="43"/>
    </row>
    <row r="66" spans="10:41" x14ac:dyDescent="0.2">
      <c r="J66" s="43"/>
      <c r="K66" s="43"/>
      <c r="L66" s="43"/>
      <c r="M66" s="43"/>
      <c r="N66" s="43"/>
      <c r="O66" s="43"/>
      <c r="P66" s="43"/>
      <c r="Q66" s="43"/>
      <c r="R66" s="43"/>
      <c r="S66" s="43"/>
      <c r="T66" s="43"/>
      <c r="AE66" s="43"/>
      <c r="AF66" s="43"/>
      <c r="AG66" s="43"/>
      <c r="AH66" s="43"/>
      <c r="AI66" s="43"/>
      <c r="AJ66" s="43"/>
      <c r="AK66" s="43"/>
      <c r="AL66" s="43"/>
      <c r="AM66" s="43"/>
      <c r="AN66" s="43"/>
      <c r="AO66" s="43"/>
    </row>
    <row r="67" spans="10:41" x14ac:dyDescent="0.2">
      <c r="J67" s="43"/>
      <c r="K67" s="43"/>
      <c r="L67" s="43"/>
      <c r="M67" s="43"/>
      <c r="N67" s="43"/>
      <c r="O67" s="43"/>
      <c r="P67" s="43"/>
      <c r="Q67" s="43"/>
      <c r="R67" s="43"/>
      <c r="S67" s="43"/>
      <c r="T67" s="43"/>
      <c r="AE67" s="43"/>
      <c r="AF67" s="43"/>
      <c r="AG67" s="43"/>
      <c r="AH67" s="43"/>
      <c r="AI67" s="43"/>
      <c r="AJ67" s="43"/>
      <c r="AK67" s="43"/>
      <c r="AL67" s="43"/>
      <c r="AM67" s="43"/>
      <c r="AN67" s="43"/>
      <c r="AO67" s="43"/>
    </row>
  </sheetData>
  <mergeCells count="66">
    <mergeCell ref="F31:T31"/>
    <mergeCell ref="AA31:AO31"/>
    <mergeCell ref="Y4:Y29"/>
    <mergeCell ref="D3:D28"/>
    <mergeCell ref="AN25:AN28"/>
    <mergeCell ref="AN20:AN23"/>
    <mergeCell ref="K20:K23"/>
    <mergeCell ref="M20:M23"/>
    <mergeCell ref="O20:O23"/>
    <mergeCell ref="Q20:Q23"/>
    <mergeCell ref="S20:S23"/>
    <mergeCell ref="AF15:AF18"/>
    <mergeCell ref="AH15:AH18"/>
    <mergeCell ref="AJ15:AJ18"/>
    <mergeCell ref="AL15:AL18"/>
    <mergeCell ref="AN15:AN18"/>
    <mergeCell ref="AP25:AP28"/>
    <mergeCell ref="AB25:AB28"/>
    <mergeCell ref="AD25:AD28"/>
    <mergeCell ref="AF25:AF28"/>
    <mergeCell ref="AH25:AH28"/>
    <mergeCell ref="AJ25:AJ28"/>
    <mergeCell ref="AL25:AL28"/>
    <mergeCell ref="AP20:AP23"/>
    <mergeCell ref="G25:G28"/>
    <mergeCell ref="I25:I28"/>
    <mergeCell ref="K25:K28"/>
    <mergeCell ref="M25:M28"/>
    <mergeCell ref="O25:O28"/>
    <mergeCell ref="Q25:Q28"/>
    <mergeCell ref="S25:S28"/>
    <mergeCell ref="U25:U28"/>
    <mergeCell ref="U20:U23"/>
    <mergeCell ref="AD20:AD23"/>
    <mergeCell ref="AF20:AF23"/>
    <mergeCell ref="AH20:AH23"/>
    <mergeCell ref="AJ20:AJ23"/>
    <mergeCell ref="AL20:AL23"/>
    <mergeCell ref="I20:I23"/>
    <mergeCell ref="AP15:AP18"/>
    <mergeCell ref="AJ10:AJ13"/>
    <mergeCell ref="AL10:AL13"/>
    <mergeCell ref="AN10:AN13"/>
    <mergeCell ref="AP10:AP13"/>
    <mergeCell ref="K15:K18"/>
    <mergeCell ref="M15:M18"/>
    <mergeCell ref="O15:O18"/>
    <mergeCell ref="Q15:Q18"/>
    <mergeCell ref="S15:S18"/>
    <mergeCell ref="U15:U18"/>
    <mergeCell ref="M10:M13"/>
    <mergeCell ref="O10:O13"/>
    <mergeCell ref="Q10:Q13"/>
    <mergeCell ref="S10:S13"/>
    <mergeCell ref="U10:U13"/>
    <mergeCell ref="AH10:AH13"/>
    <mergeCell ref="E2:U2"/>
    <mergeCell ref="Z2:AP2"/>
    <mergeCell ref="O5:O8"/>
    <mergeCell ref="Q5:Q8"/>
    <mergeCell ref="S5:S8"/>
    <mergeCell ref="U5:U8"/>
    <mergeCell ref="AJ5:AJ8"/>
    <mergeCell ref="AL5:AL8"/>
    <mergeCell ref="AN5:AN8"/>
    <mergeCell ref="AP5:AP8"/>
  </mergeCells>
  <pageMargins left="0.7" right="0.7" top="0.75" bottom="0.75" header="0.3" footer="0.3"/>
  <pageSetup orientation="landscape" r:id="rId1"/>
  <headerFooter>
    <oddHeader>&amp;CPráctica Mortalidad 2</oddHeader>
  </headerFooter>
  <ignoredErrors>
    <ignoredError sqref="H25 J20 L15 N10 P5 J25 L20 N15 P10 R5 L25 N20 P15 R10 T5 N25 P20 R15 T10 P25 R20 T15 R25 T20 T25 AC25 AE20 AG15 AI10 AK5 AE25 AG20 AI15 AK10 AM5 AG25 AI20 AK15 AM10 AO5 AI25 AK20 AM15 AO10 AK25 AM20 AO15 AM25 AO20 AO25" 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P20"/>
  <sheetViews>
    <sheetView showGridLines="0" showRowColHeaders="0" tabSelected="1" zoomScaleNormal="100" workbookViewId="0">
      <selection activeCell="E15" sqref="E15"/>
    </sheetView>
  </sheetViews>
  <sheetFormatPr defaultColWidth="8.88671875" defaultRowHeight="11.4" x14ac:dyDescent="0.2"/>
  <cols>
    <col min="1" max="1" width="5.109375" style="6" customWidth="1"/>
    <col min="2" max="2" width="11.5546875" style="6" customWidth="1"/>
    <col min="3" max="4" width="10.88671875" style="6" customWidth="1"/>
    <col min="5" max="5" width="8.88671875" style="6"/>
    <col min="6" max="6" width="8.5546875" style="6" customWidth="1"/>
    <col min="7" max="8" width="10.88671875" style="6" customWidth="1"/>
    <col min="9" max="9" width="8.88671875" style="6"/>
    <col min="10" max="16" width="8.5546875" style="6" hidden="1" customWidth="1"/>
    <col min="17" max="16384" width="8.88671875" style="6"/>
  </cols>
  <sheetData>
    <row r="2" spans="2:16" ht="15" customHeight="1" x14ac:dyDescent="0.3">
      <c r="B2" s="142" t="s">
        <v>12</v>
      </c>
      <c r="C2" s="131" t="s">
        <v>13</v>
      </c>
      <c r="D2" s="132"/>
      <c r="E2" s="51"/>
      <c r="F2" s="136"/>
      <c r="G2" s="131"/>
      <c r="H2" s="132"/>
      <c r="I2" s="50"/>
      <c r="J2" s="136" t="s">
        <v>1</v>
      </c>
      <c r="K2" s="131" t="s">
        <v>15</v>
      </c>
      <c r="L2" s="138"/>
      <c r="M2" s="138"/>
      <c r="N2" s="138"/>
      <c r="O2" s="140"/>
      <c r="P2" s="141"/>
    </row>
    <row r="3" spans="2:16" ht="15" customHeight="1" x14ac:dyDescent="0.3">
      <c r="B3" s="143"/>
      <c r="C3" s="61" t="s">
        <v>4</v>
      </c>
      <c r="D3" s="21" t="s">
        <v>5</v>
      </c>
      <c r="E3" s="51"/>
      <c r="F3" s="137"/>
      <c r="G3" s="21"/>
      <c r="H3" s="21"/>
      <c r="I3" s="50"/>
      <c r="J3" s="139"/>
      <c r="K3" s="131" t="s">
        <v>4</v>
      </c>
      <c r="L3" s="138"/>
      <c r="M3" s="138"/>
      <c r="N3" s="131" t="s">
        <v>5</v>
      </c>
      <c r="O3" s="138"/>
      <c r="P3" s="132"/>
    </row>
    <row r="4" spans="2:16" ht="15" customHeight="1" x14ac:dyDescent="0.3">
      <c r="B4" s="69">
        <v>2020</v>
      </c>
      <c r="C4" s="52">
        <f>(('Diagrama de Lexis'!N25+'Diagrama de Lexis'!L28)/'Diagrama de Lexis'!L29)*1000</f>
        <v>15.614285714285716</v>
      </c>
      <c r="D4" s="75">
        <f>(('Diagrama de Lexis'!AI25+'Diagrama de Lexis'!AG28)/'Diagrama de Lexis'!AG29)*1000</f>
        <v>13.647369579572969</v>
      </c>
      <c r="E4" s="51"/>
      <c r="F4" s="69"/>
      <c r="H4" s="115"/>
      <c r="I4" s="50"/>
      <c r="J4" s="137"/>
      <c r="K4" s="61" t="s">
        <v>16</v>
      </c>
      <c r="L4" s="61" t="s">
        <v>17</v>
      </c>
      <c r="M4" s="61" t="s">
        <v>18</v>
      </c>
      <c r="N4" s="72" t="s">
        <v>16</v>
      </c>
      <c r="O4" s="61" t="s">
        <v>17</v>
      </c>
      <c r="P4" s="62" t="s">
        <v>18</v>
      </c>
    </row>
    <row r="5" spans="2:16" ht="15" customHeight="1" x14ac:dyDescent="0.3">
      <c r="B5" s="70">
        <v>2021</v>
      </c>
      <c r="C5" s="63">
        <f>(('Diagrama de Lexis'!P25+'Diagrama de Lexis'!N28)/'Diagrama de Lexis'!N29)*1000</f>
        <v>18.012422360248451</v>
      </c>
      <c r="D5" s="76">
        <f>(('Diagrama de Lexis'!AK25+'Diagrama de Lexis'!AI28)/'Diagrama de Lexis'!AI29)*1000</f>
        <v>15.194401244167961</v>
      </c>
      <c r="E5" s="51"/>
      <c r="F5" s="70"/>
      <c r="G5" s="115"/>
      <c r="H5" s="115"/>
      <c r="I5" s="50"/>
      <c r="J5" s="69">
        <v>2002</v>
      </c>
      <c r="K5" s="53"/>
      <c r="L5" s="53"/>
      <c r="M5" s="54"/>
      <c r="N5" s="55"/>
      <c r="O5" s="53"/>
      <c r="P5" s="64"/>
    </row>
    <row r="6" spans="2:16" ht="15" customHeight="1" x14ac:dyDescent="0.3">
      <c r="B6" s="70">
        <v>2022</v>
      </c>
      <c r="C6" s="63">
        <f>(('Diagrama de Lexis'!R25 +'Diagrama de Lexis'!P28)/'Diagrama de Lexis'!P29)*1000</f>
        <v>18.07511737089202</v>
      </c>
      <c r="D6" s="76">
        <f>(('Diagrama de Lexis'!AM25+'Diagrama de Lexis'!AK28)/'Diagrama de Lexis'!AK29)*1000</f>
        <v>13.815591073582629</v>
      </c>
      <c r="E6" s="51"/>
      <c r="F6" s="70"/>
      <c r="G6" s="115"/>
      <c r="H6" s="115"/>
      <c r="I6" s="50"/>
      <c r="J6" s="70">
        <v>2003</v>
      </c>
      <c r="K6" s="65"/>
      <c r="L6" s="65"/>
      <c r="M6" s="66"/>
      <c r="N6" s="56"/>
      <c r="O6" s="65"/>
      <c r="P6" s="67"/>
    </row>
    <row r="7" spans="2:16" ht="15" customHeight="1" x14ac:dyDescent="0.3">
      <c r="B7" s="71">
        <v>2023</v>
      </c>
      <c r="C7" s="57">
        <f>(('Diagrama de Lexis'!T25+'Diagrama de Lexis'!R28)/'Diagrama de Lexis'!R29)*1000</f>
        <v>15.222819096617991</v>
      </c>
      <c r="D7" s="74">
        <f>(('Diagrama de Lexis'!AO25+'Diagrama de Lexis'!AM28)/'Diagrama de Lexis'!AM29)*1000</f>
        <v>11.511815872527132</v>
      </c>
      <c r="E7" s="51"/>
      <c r="F7" s="71"/>
      <c r="G7" s="115"/>
      <c r="H7" s="74"/>
      <c r="I7" s="50"/>
      <c r="J7" s="70">
        <v>2004</v>
      </c>
      <c r="K7" s="65"/>
      <c r="L7" s="65"/>
      <c r="M7" s="66"/>
      <c r="N7" s="56"/>
      <c r="O7" s="65"/>
      <c r="P7" s="67"/>
    </row>
    <row r="8" spans="2:16" ht="15" customHeight="1" x14ac:dyDescent="0.3">
      <c r="B8" s="50"/>
      <c r="C8" s="50"/>
      <c r="D8" s="50"/>
      <c r="E8" s="50"/>
      <c r="F8" s="50"/>
      <c r="G8" s="50"/>
      <c r="H8" s="50"/>
      <c r="I8" s="50"/>
      <c r="J8" s="71">
        <v>2005</v>
      </c>
      <c r="K8" s="58"/>
      <c r="L8" s="58"/>
      <c r="M8" s="59"/>
      <c r="N8" s="60"/>
      <c r="O8" s="58"/>
      <c r="P8" s="68"/>
    </row>
    <row r="9" spans="2:16" ht="15" customHeight="1" x14ac:dyDescent="0.3">
      <c r="B9" s="136" t="s">
        <v>1</v>
      </c>
      <c r="C9" s="131" t="s">
        <v>14</v>
      </c>
      <c r="D9" s="132"/>
      <c r="E9" s="50"/>
      <c r="F9" s="50"/>
      <c r="G9" s="50"/>
      <c r="H9" s="50"/>
      <c r="I9" s="50"/>
      <c r="J9" s="50"/>
      <c r="K9" s="50"/>
      <c r="L9" s="50"/>
      <c r="M9" s="50"/>
      <c r="N9" s="50"/>
      <c r="O9" s="50"/>
      <c r="P9" s="50"/>
    </row>
    <row r="10" spans="2:16" ht="15" customHeight="1" x14ac:dyDescent="0.2">
      <c r="B10" s="137"/>
      <c r="C10" s="21" t="s">
        <v>4</v>
      </c>
      <c r="D10" s="21" t="s">
        <v>5</v>
      </c>
    </row>
    <row r="11" spans="2:16" ht="15" customHeight="1" x14ac:dyDescent="0.2">
      <c r="B11" s="116">
        <v>2020</v>
      </c>
      <c r="C11" s="119">
        <f>('Diagrama de Lexis'!L10+'Diagrama de Lexis'!L13+'Diagrama de Lexis'!L15+'Diagrama de Lexis'!L18+'Diagrama de Lexis'!L20+'Diagrama de Lexis'!L23+'Diagrama de Lexis'!L25+'Diagrama de Lexis'!L28)/'Diagrama de Lexis'!L29</f>
        <v>1.6357142857142858E-2</v>
      </c>
      <c r="D11" s="119">
        <f>('Diagrama de Lexis'!AG10+'Diagrama de Lexis'!AG13+'Diagrama de Lexis'!AG15+'Diagrama de Lexis'!AG18+'Diagrama de Lexis'!AG20+'Diagrama de Lexis'!AG23+'Diagrama de Lexis'!AG25+'Diagrama de Lexis'!AG28)/'Diagrama de Lexis'!AG29</f>
        <v>1.3353877760657421E-2</v>
      </c>
    </row>
    <row r="12" spans="2:16" ht="15" customHeight="1" x14ac:dyDescent="0.2">
      <c r="B12" s="117">
        <v>2021</v>
      </c>
      <c r="C12" s="120">
        <f>('Diagrama de Lexis'!N5+'Diagrama de Lexis'!N8+'Diagrama de Lexis'!N10+'Diagrama de Lexis'!N13+'Diagrama de Lexis'!N15+'Diagrama de Lexis'!N18+'Diagrama de Lexis'!N20+'Diagrama de Lexis'!N23+'Diagrama de Lexis'!N25+'Diagrama de Lexis'!N28)/'Diagrama de Lexis'!N29</f>
        <v>2.033422064477965E-2</v>
      </c>
      <c r="D12" s="120">
        <f>('Diagrama de Lexis'!AI5+'Diagrama de Lexis'!AI8+'Diagrama de Lexis'!AI10+'Diagrama de Lexis'!AI13+'Diagrama de Lexis'!AI15+'Diagrama de Lexis'!AI18+'Diagrama de Lexis'!AI20+'Diagrama de Lexis'!AI23+'Diagrama de Lexis'!AI25+'Diagrama de Lexis'!AI28)/'Diagrama de Lexis'!AI29</f>
        <v>1.8118195956454121E-2</v>
      </c>
    </row>
    <row r="13" spans="2:16" ht="15" customHeight="1" x14ac:dyDescent="0.2">
      <c r="B13" s="117">
        <v>2022</v>
      </c>
      <c r="C13" s="120">
        <f>('Diagrama de Lexis'!P5+'Diagrama de Lexis'!P8+'Diagrama de Lexis'!P10+'Diagrama de Lexis'!P13+'Diagrama de Lexis'!P15+'Diagrama de Lexis'!P18+'Diagrama de Lexis'!P20+'Diagrama de Lexis'!P23+'Diagrama de Lexis'!P25+'Diagrama de Lexis'!P28)/'Diagrama de Lexis'!P29</f>
        <v>2.1200117370892019E-2</v>
      </c>
      <c r="D13" s="120">
        <f>('Diagrama de Lexis'!AK5+'Diagrama de Lexis'!AK8+'Diagrama de Lexis'!AK10+'Diagrama de Lexis'!AK13+'Diagrama de Lexis'!AK15+'Diagrama de Lexis'!AK18+'Diagrama de Lexis'!AK20+'Diagrama de Lexis'!AK23+'Diagrama de Lexis'!AK25+'Diagrama de Lexis'!AK28)/'Diagrama de Lexis'!AK29</f>
        <v>1.6887816646562123E-2</v>
      </c>
    </row>
    <row r="14" spans="2:16" ht="15" customHeight="1" x14ac:dyDescent="0.2">
      <c r="B14" s="118">
        <v>2023</v>
      </c>
      <c r="C14" s="118">
        <f>('Diagrama de Lexis'!R5+'Diagrama de Lexis'!R8+'Diagrama de Lexis'!R10+'Diagrama de Lexis'!R13+'Diagrama de Lexis'!R15+'Diagrama de Lexis'!R18+'Diagrama de Lexis'!R20+'Diagrama de Lexis'!R23+'Diagrama de Lexis'!R25+'Diagrama de Lexis'!R28)/'Diagrama de Lexis'!R29</f>
        <v>2.2622380267836875E-2</v>
      </c>
      <c r="D14" s="121">
        <f>('Diagrama de Lexis'!AM5+'Diagrama de Lexis'!AM8+'Diagrama de Lexis'!AM10+'Diagrama de Lexis'!AM13+'Diagrama de Lexis'!AM15+'Diagrama de Lexis'!AM18+'Diagrama de Lexis'!AM20+'Diagrama de Lexis'!AM23+'Diagrama de Lexis'!AM25+'Diagrama de Lexis'!AM28)/'Diagrama de Lexis'!AM29</f>
        <v>1.7319682857362791E-2</v>
      </c>
    </row>
    <row r="15" spans="2:16" ht="15" customHeight="1" x14ac:dyDescent="0.2"/>
    <row r="16" spans="2:16" ht="15" customHeight="1" x14ac:dyDescent="0.2"/>
    <row r="17" spans="10:16" ht="15" customHeight="1" x14ac:dyDescent="0.2"/>
    <row r="18" spans="10:16" ht="15" customHeight="1" x14ac:dyDescent="0.2"/>
    <row r="19" spans="10:16" s="7" customFormat="1" ht="15" customHeight="1" x14ac:dyDescent="0.2">
      <c r="J19" s="6"/>
      <c r="K19" s="6"/>
      <c r="L19" s="6"/>
      <c r="M19" s="6"/>
      <c r="N19" s="6"/>
      <c r="O19" s="6"/>
      <c r="P19" s="6"/>
    </row>
    <row r="20" spans="10:16" x14ac:dyDescent="0.2">
      <c r="J20" s="7"/>
      <c r="K20" s="7"/>
      <c r="L20" s="7"/>
      <c r="M20" s="7"/>
      <c r="N20" s="7"/>
      <c r="O20" s="7"/>
      <c r="P20" s="7"/>
    </row>
  </sheetData>
  <mergeCells count="10">
    <mergeCell ref="C9:D9"/>
    <mergeCell ref="B9:B10"/>
    <mergeCell ref="N3:P3"/>
    <mergeCell ref="J2:J4"/>
    <mergeCell ref="K2:P2"/>
    <mergeCell ref="B2:B3"/>
    <mergeCell ref="C2:D2"/>
    <mergeCell ref="F2:F3"/>
    <mergeCell ref="G2:H2"/>
    <mergeCell ref="K3:M3"/>
  </mergeCells>
  <pageMargins left="0.7" right="0.7" top="0.75" bottom="0.75" header="0.3" footer="0.3"/>
  <pageSetup orientation="landscape" r:id="rId1"/>
  <headerFooter>
    <oddHeader>&amp;CPráctica Mortalidad 2</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Filtrado de Información</vt:lpstr>
      <vt:lpstr>Datos</vt:lpstr>
      <vt:lpstr>Diagrama de Lexis</vt:lpstr>
      <vt:lpstr>TMI</vt:lpstr>
      <vt:lpstr>Datos!_Hlk24994008</vt:lpstr>
    </vt:vector>
  </TitlesOfParts>
  <Manager/>
  <Company>Cepal, Naciones Unidas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Andrés Peña M.; CELADE</dc:creator>
  <cp:keywords/>
  <dc:description/>
  <cp:lastModifiedBy>Samuel Gómez</cp:lastModifiedBy>
  <cp:revision/>
  <dcterms:created xsi:type="dcterms:W3CDTF">2011-05-03T20:08:38Z</dcterms:created>
  <dcterms:modified xsi:type="dcterms:W3CDTF">2026-04-28T02:28:45Z</dcterms:modified>
  <cp:category/>
  <cp:contentStatus/>
</cp:coreProperties>
</file>